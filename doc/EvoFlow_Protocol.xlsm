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tip\OneDrive\Desktop\Files\Work\Git\evoflow_control_entity\doc\"/>
    </mc:Choice>
  </mc:AlternateContent>
  <xr:revisionPtr revIDLastSave="0" documentId="13_ncr:1_{8D19372C-BDB7-4610-B16E-A0258A1C1F1B}" xr6:coauthVersionLast="47" xr6:coauthVersionMax="47" xr10:uidLastSave="{00000000-0000-0000-0000-000000000000}"/>
  <bookViews>
    <workbookView xWindow="38280" yWindow="-120" windowWidth="38640" windowHeight="21120" xr2:uid="{B7C95961-22B9-46ED-A8B8-FED0A72F7FB7}"/>
  </bookViews>
  <sheets>
    <sheet name="Protocol" sheetId="1" r:id="rId1"/>
    <sheet name="Helper" sheetId="2" r:id="rId2"/>
  </sheets>
  <functionGroups builtInGroupCount="19"/>
  <definedNames>
    <definedName name="_xleta.SIN" hidden="1" xlm="1">#NAME?</definedName>
    <definedName name="_xleta.TEXTJOIN" hidden="1" xlm="1">#NAME?</definedName>
    <definedName name="id1_MagModule">Protocol!$D$27</definedName>
    <definedName name="id1_ODModule">Protocol!$D$23</definedName>
    <definedName name="id1_PhotonCounter">Protocol!$D$33</definedName>
    <definedName name="id1_Pump">Protocol!$D$9</definedName>
    <definedName name="id1_TempModule">Protocol!$D$17</definedName>
    <definedName name="id1_Tray">Protocol!$D$38</definedName>
    <definedName name="id1_Valve">Protocol!$D$14</definedName>
    <definedName name="id2_MagModule_Fan_Duty_Cycle">Protocol!$E$30</definedName>
    <definedName name="id2_MagModule_On_Off">Protocol!$E$27</definedName>
    <definedName name="id2_MagModule_Set_Point">Protocol!$E$28</definedName>
    <definedName name="id2_MagModule_Speed">Protocol!$E$29</definedName>
    <definedName name="id2_ODModule_OD_Value">Protocol!$E$24</definedName>
    <definedName name="id2_ODModule_On_Off">Protocol!$E$23</definedName>
    <definedName name="id2_PhotonCounter_On_Off">Protocol!$E$33</definedName>
    <definedName name="id2_PhotonCounter_Overlight_Detection">Protocol!$E$35</definedName>
    <definedName name="id2_PhotonCounter_Photon_Counts">Protocol!$E$34</definedName>
    <definedName name="id2_Pump_On_Off">Protocol!$E$9</definedName>
    <definedName name="id2_Pump_Set_Point">Protocol!$E$10</definedName>
    <definedName name="id2_Pump_Speed">Protocol!$E$11</definedName>
    <definedName name="id2_TempModule_Heater_Duty_Cycle">Protocol!$E$20</definedName>
    <definedName name="id2_TempModule_On_Off">Protocol!$E$17</definedName>
    <definedName name="id2_TempModule_Set_Point">Protocol!$E$18</definedName>
    <definedName name="id2_TempModule_Temperature">Protocol!$E$19</definedName>
    <definedName name="id2_Tray_Position">Protocol!$E$38</definedName>
    <definedName name="id2_Tray_Start">Protocol!$E$39</definedName>
    <definedName name="id2_Valve_On_Off">Protocol!$E$14</definedName>
    <definedName name="N_MagModule">Protocol!$C$59</definedName>
    <definedName name="N_ODModule">Protocol!$C$58</definedName>
    <definedName name="N_PhotonCounter">Protocol!$C$60</definedName>
    <definedName name="N_Pump">Protocol!$C$55</definedName>
    <definedName name="N_TempModule">Protocol!$C$57</definedName>
    <definedName name="N_Tray">Protocol!$C$61</definedName>
    <definedName name="N_Valve">Protocol!$C$56</definedName>
    <definedName name="NPayload_MagModule_Fan_Duty_Cycle">Helper!$I$21</definedName>
    <definedName name="NPayload_MagModule_On_Off">Helper!$I$18</definedName>
    <definedName name="NPayload_MagModule_Set_Point">Helper!$I$19</definedName>
    <definedName name="NPayload_MagModule_Speed">Helper!$I$20</definedName>
    <definedName name="NPayload_ODModule_OD_Value">Helper!$I$16</definedName>
    <definedName name="NPayload_ODModule_On_Off">Helper!$I$15</definedName>
    <definedName name="NPayload_PhotonCounter_On_Off">Helper!$I$23</definedName>
    <definedName name="NPayload_PhotonCounter_Overlight_Detection">Helper!$I$25</definedName>
    <definedName name="NPayload_PhotonCounter_Photon_Counts">Helper!$I$24</definedName>
    <definedName name="NPayload_Pump_On_Off">Helper!$I$4</definedName>
    <definedName name="NPayload_Pump_Set_Point">Helper!$I$5</definedName>
    <definedName name="NPayload_Pump_Speed">Helper!$I$6</definedName>
    <definedName name="NPayload_TempModule_Heater_Duty_Cycle">Helper!$I$13</definedName>
    <definedName name="NPayload_TempModule_On_Off">Helper!$I$10</definedName>
    <definedName name="NPayload_TempModule_Set_Point">Helper!$I$11</definedName>
    <definedName name="NPayload_TempModule_Temperature">Helper!$I$12</definedName>
    <definedName name="NPayload_Tray_Position">Helper!$I$27</definedName>
    <definedName name="NPayload_Tray_Start">Helper!$I$28</definedName>
    <definedName name="NPayload_Valve_On_Off">Helper!$I$8</definedName>
    <definedName name="Read_MagModule">Helper!$D$23:$D$26</definedName>
    <definedName name="Read_ODModule">Helper!$D$19:$D$20</definedName>
    <definedName name="Read_PhotonCounter">Helper!$D$29:$D$31</definedName>
    <definedName name="Read_Pump">Helper!$D$5:$D$7</definedName>
    <definedName name="Read_TempModule">Helper!$D$13:$D$16</definedName>
    <definedName name="Read_Tray">Helper!$D$34:$D$35</definedName>
    <definedName name="Read_Valve">Helper!$D$10</definedName>
    <definedName name="Write_MagModule">Helper!$F$23:$F$24</definedName>
    <definedName name="Write_ODModule">Helper!$F$19</definedName>
    <definedName name="Write_PhotonCounter">Helper!$F$29</definedName>
    <definedName name="Write_Pump">Helper!$F$5:$F$6</definedName>
    <definedName name="Write_TempModule">Helper!$F$13:$F$14</definedName>
    <definedName name="Write_Tray">Helper!$F$34:$F$35</definedName>
    <definedName name="Write_Valve">Helper!$F$10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2" i="1" l="1" a="1"/>
  <c r="G62" i="1" s="1"/>
  <c r="G63" i="1" a="1"/>
  <c r="G63" i="1"/>
  <c r="G64" i="1" a="1"/>
  <c r="G64" i="1" s="1"/>
  <c r="G65" i="1" a="1"/>
  <c r="G65" i="1" s="1"/>
  <c r="G66" i="1" a="1"/>
  <c r="G66" i="1" s="1"/>
  <c r="G67" i="1" a="1"/>
  <c r="G67" i="1" s="1"/>
  <c r="G68" i="1" a="1"/>
  <c r="G68" i="1" s="1"/>
  <c r="G69" i="1" a="1"/>
  <c r="G69" i="1" s="1"/>
  <c r="B51" i="1"/>
  <c r="I28" i="2"/>
  <c r="I27" i="2"/>
  <c r="I24" i="2"/>
  <c r="I25" i="2"/>
  <c r="I23" i="2"/>
  <c r="I21" i="2"/>
  <c r="I20" i="2"/>
  <c r="I19" i="2"/>
  <c r="I18" i="2"/>
  <c r="I16" i="2"/>
  <c r="I15" i="2"/>
  <c r="I13" i="2"/>
  <c r="I12" i="2"/>
  <c r="I11" i="2"/>
  <c r="I10" i="2"/>
  <c r="I8" i="2"/>
  <c r="I4" i="2"/>
  <c r="I6" i="2"/>
  <c r="I5" i="2"/>
  <c r="C47" i="1"/>
  <c r="C51" i="1" s="1"/>
  <c r="B47" i="1"/>
  <c r="G61" i="1" a="1"/>
  <c r="G60" i="1" a="1"/>
  <c r="E68" i="1" a="1"/>
  <c r="E66" i="1" a="1"/>
  <c r="E67" i="1" a="1"/>
  <c r="E60" i="1" a="1"/>
  <c r="F47" i="1"/>
  <c r="E61" i="1" a="1"/>
  <c r="E65" i="1" a="1"/>
  <c r="E69" i="1" a="1"/>
  <c r="E62" i="1" a="1"/>
  <c r="E64" i="1" a="1"/>
  <c r="E63" i="1" a="1"/>
  <c r="D47" i="1"/>
  <c r="E47" i="1"/>
  <c r="G61" i="1" l="1"/>
  <c r="G60" i="1"/>
  <c r="F51" i="1"/>
  <c r="E51" i="1"/>
  <c r="D51" i="1"/>
  <c r="E68" i="1"/>
  <c r="E69" i="1"/>
  <c r="E67" i="1"/>
  <c r="E66" i="1"/>
  <c r="E60" i="1"/>
  <c r="E65" i="1"/>
  <c r="E61" i="1"/>
  <c r="E63" i="1"/>
  <c r="E64" i="1"/>
  <c r="E62" i="1"/>
  <c r="G51" i="1" l="1" a="1"/>
  <c r="G51" i="1" s="1"/>
  <c r="G47" i="1" a="1"/>
  <c r="G4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<sst xmlns="http://schemas.openxmlformats.org/spreadsheetml/2006/main" count="290" uniqueCount="115">
  <si>
    <t>nbyte</t>
  </si>
  <si>
    <t>datatype</t>
  </si>
  <si>
    <t>GUI2MCU</t>
  </si>
  <si>
    <t>MCU2GUI</t>
  </si>
  <si>
    <t>Sender</t>
  </si>
  <si>
    <t>x</t>
  </si>
  <si>
    <t>uint8</t>
  </si>
  <si>
    <t>float</t>
  </si>
  <si>
    <t>Receiver(7-bit header, the last bit is used for read/write, 0 = read, 1 = write)</t>
  </si>
  <si>
    <t>R</t>
  </si>
  <si>
    <t>R/W</t>
  </si>
  <si>
    <t>Speed</t>
  </si>
  <si>
    <t>Pumps (Medium2Bio, Bio2Lagoon, Bio2Waste, Lagoon2Waste)</t>
  </si>
  <si>
    <t>Temperature</t>
  </si>
  <si>
    <t>W</t>
  </si>
  <si>
    <t>Temperature Controls (Bioreactor, Lagoon)</t>
  </si>
  <si>
    <t>OD Controls (Bioreactor, Lagoon)</t>
  </si>
  <si>
    <t>Magnetic Stirrers (Bioreactor, Lagoon)</t>
  </si>
  <si>
    <t>Photon Counters</t>
  </si>
  <si>
    <t>Start</t>
  </si>
  <si>
    <t>CRC</t>
  </si>
  <si>
    <t>id1(unit8)</t>
  </si>
  <si>
    <t>id2(unit8)</t>
  </si>
  <si>
    <t>Npayload(uint8)</t>
  </si>
  <si>
    <t>P</t>
  </si>
  <si>
    <t>Explanation</t>
  </si>
  <si>
    <t>Delimiter</t>
  </si>
  <si>
    <t>COBS encoding</t>
  </si>
  <si>
    <t>O</t>
  </si>
  <si>
    <r>
      <t>Protocol (Decimal) (Raw Data) (</t>
    </r>
    <r>
      <rPr>
        <b/>
        <sz val="11"/>
        <color theme="1"/>
        <rFont val="Wingdings 2"/>
        <family val="1"/>
        <charset val="2"/>
      </rPr>
      <t>P</t>
    </r>
    <r>
      <rPr>
        <b/>
        <sz val="11"/>
        <color theme="1"/>
        <rFont val="Aptos Narrow"/>
        <family val="2"/>
        <scheme val="minor"/>
      </rPr>
      <t xml:space="preserve"> = included in the packet, </t>
    </r>
    <r>
      <rPr>
        <b/>
        <sz val="11"/>
        <color theme="1"/>
        <rFont val="Wingdings 2"/>
        <family val="1"/>
        <charset val="2"/>
      </rPr>
      <t>O</t>
    </r>
    <r>
      <rPr>
        <b/>
        <sz val="11"/>
        <color theme="1"/>
        <rFont val="Aptos Narrow"/>
        <family val="2"/>
        <scheme val="minor"/>
      </rPr>
      <t xml:space="preserve"> = not included in the packet)</t>
    </r>
  </si>
  <si>
    <t>EvoFlow Communication Protocol</t>
  </si>
  <si>
    <t>Method</t>
  </si>
  <si>
    <t>Read</t>
  </si>
  <si>
    <t>Valves (Bio2Lagoon, Sugar2Lagoon)</t>
  </si>
  <si>
    <t>Component</t>
  </si>
  <si>
    <t>Sample Trays</t>
  </si>
  <si>
    <t>Command</t>
  </si>
  <si>
    <t>Heater_Duty_Cycle</t>
  </si>
  <si>
    <t>Set_Point</t>
  </si>
  <si>
    <t>OD_Value</t>
  </si>
  <si>
    <t>Fan_Duty_Cycle</t>
  </si>
  <si>
    <t>Photon_Counts</t>
  </si>
  <si>
    <t>Overlight_Detection</t>
  </si>
  <si>
    <t>N_Pump x 1</t>
  </si>
  <si>
    <t>N_Pump x 4</t>
  </si>
  <si>
    <t>N_Valve x 1</t>
  </si>
  <si>
    <t>N_TempModule x 1</t>
  </si>
  <si>
    <t>N_TempModule x 4</t>
  </si>
  <si>
    <t>N_ODModule x 1</t>
  </si>
  <si>
    <t>N_ODModule x 4</t>
  </si>
  <si>
    <t>N_MagModule x 1</t>
  </si>
  <si>
    <t>N_MagModule x 4</t>
  </si>
  <si>
    <t>N_Tray x 1</t>
  </si>
  <si>
    <t>N_Pump</t>
  </si>
  <si>
    <t>N_Valve</t>
  </si>
  <si>
    <t>N_TempModule</t>
  </si>
  <si>
    <t>N_ODModule</t>
  </si>
  <si>
    <t>N_MagModule</t>
  </si>
  <si>
    <t>N_Tray</t>
  </si>
  <si>
    <t>Variables Configuration</t>
  </si>
  <si>
    <t>Protocol Configuration</t>
  </si>
  <si>
    <t>All Components</t>
  </si>
  <si>
    <r>
      <t xml:space="preserve">Protocol Simulator </t>
    </r>
    <r>
      <rPr>
        <b/>
        <sz val="11"/>
        <color theme="1"/>
        <rFont val="Aptos Narrow"/>
        <family val="2"/>
        <scheme val="minor"/>
      </rPr>
      <t>(GUI = 1, EvoFlow Nucleo = 100, Sample Extraction Nucleo = 101)</t>
    </r>
  </si>
  <si>
    <t>Write</t>
  </si>
  <si>
    <t>Sender addr.</t>
  </si>
  <si>
    <t>Receiver addr.</t>
  </si>
  <si>
    <t>Position</t>
  </si>
  <si>
    <t>N_Tray x 2</t>
  </si>
  <si>
    <t>Start (1 = start)</t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</si>
  <si>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(LITTLE-ENDIAN)</t>
    </r>
  </si>
  <si>
    <t>Pump</t>
  </si>
  <si>
    <t>Valve</t>
  </si>
  <si>
    <t>TempModule</t>
  </si>
  <si>
    <t>ODModule</t>
  </si>
  <si>
    <t>MagModule</t>
  </si>
  <si>
    <t>N_PhotonCounter x 1</t>
  </si>
  <si>
    <t>N_PhotonCounter x 4</t>
  </si>
  <si>
    <t>N_PhotonCounter</t>
  </si>
  <si>
    <t>PhotonCounter</t>
  </si>
  <si>
    <t>Tray</t>
  </si>
  <si>
    <t>Overlight_Detection (1 = Overlight Detected)</t>
  </si>
  <si>
    <t>Raw Bytes (Binary)</t>
  </si>
  <si>
    <t>Raw Bytes (Hexadecimal)</t>
  </si>
  <si>
    <t>On_Off</t>
  </si>
  <si>
    <t>On_Off (0 = off, 1 = on)</t>
  </si>
  <si>
    <t>Receiver</t>
  </si>
  <si>
    <t>id1</t>
  </si>
  <si>
    <t>id2</t>
  </si>
  <si>
    <t>No of payload</t>
  </si>
  <si>
    <t>COBS</t>
  </si>
  <si>
    <t>Npayload</t>
  </si>
  <si>
    <t>NPayload_Pump_On_Off</t>
  </si>
  <si>
    <t>NPayload_Pump_Set_Point</t>
  </si>
  <si>
    <t>NPayload_Pump_Speed</t>
  </si>
  <si>
    <t>NPayload_Valve_On_Off</t>
  </si>
  <si>
    <t>NPayload_TempModule_On_Off</t>
  </si>
  <si>
    <t>NPayload_TempModule_Set_Point</t>
  </si>
  <si>
    <t>NPayload_TempModule_Temperature</t>
  </si>
  <si>
    <t>NPayload_TempModule_Heater_Duty_Cycle</t>
  </si>
  <si>
    <t>NPayload_ODModule_On_Off</t>
  </si>
  <si>
    <t>NPayload_MagModule_On_Off</t>
  </si>
  <si>
    <t>NPayload_MagModule_Set_Point</t>
  </si>
  <si>
    <t>NPayload_MagModule_Speed</t>
  </si>
  <si>
    <t>NPayload_MagModule_Fan_Duty_Cycle</t>
  </si>
  <si>
    <t>NPayload_PhotonCounter_On_Off</t>
  </si>
  <si>
    <t>NPayload_PhotonCounter_Photon_Counts</t>
  </si>
  <si>
    <t>NPayload_PhotonCounter_Overlight_Detection</t>
  </si>
  <si>
    <t>NPayload_Tray_Position</t>
  </si>
  <si>
    <t>NPayload_Tray_Start</t>
  </si>
  <si>
    <t>NPayload_ODModule_OD_Value</t>
  </si>
  <si>
    <r>
      <t>Payload</t>
    </r>
    <r>
      <rPr>
        <b/>
        <sz val="11"/>
        <color rgb="FFFF0000"/>
        <rFont val="Aptos Narrow"/>
        <family val="2"/>
        <scheme val="minor"/>
      </rPr>
      <t xml:space="preserve"> (LITTLE ENDIAN)</t>
    </r>
  </si>
  <si>
    <r>
      <t xml:space="preserve">Payload </t>
    </r>
    <r>
      <rPr>
        <b/>
        <sz val="11"/>
        <color rgb="FFFF0000"/>
        <rFont val="Aptos Narrow"/>
        <family val="2"/>
        <scheme val="minor"/>
      </rPr>
      <t>(LITTLE ENDIAN)</t>
    </r>
  </si>
  <si>
    <t>0x00</t>
  </si>
  <si>
    <t>Position (row, column) (waste = 255, 255) (changing tray = 254, 254) (changing bottle = 253, 253) (homing = 252, 252)</t>
  </si>
  <si>
    <t>252, 252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</si>
</sst>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Wingdings 2"/>
      <family val="1"/>
      <charset val="2"/>
    </font>
    <font>
      <i/>
      <sz val="11"/>
      <color theme="1"/>
      <name val="Aptos Narrow"/>
      <family val="2"/>
      <scheme val="minor"/>
    </font>
    <font>
      <b/>
      <sz val="11"/>
      <color theme="1"/>
      <name val="Wingdings 2"/>
      <family val="1"/>
      <charset val="2"/>
    </font>
    <font>
      <b/>
      <i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20"/>
      <color rgb="FFFF0000"/>
      <name val="Aptos Narrow"/>
      <family val="2"/>
      <scheme val="minor"/>
    </font>
    <font>
      <sz val="8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9FF99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left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1" fillId="2" borderId="32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5" fillId="2" borderId="34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8" borderId="37" xfId="0" applyFill="1" applyBorder="1" applyAlignment="1">
      <alignment vertical="center"/>
    </xf>
    <xf numFmtId="0" fontId="0" fillId="5" borderId="36" xfId="0" applyFill="1" applyBorder="1"/>
    <xf numFmtId="0" fontId="0" fillId="8" borderId="1" xfId="0" applyFill="1" applyBorder="1"/>
    <xf numFmtId="0" fontId="0" fillId="6" borderId="37" xfId="0" applyFill="1" applyBorder="1" applyAlignment="1">
      <alignment vertical="center"/>
    </xf>
    <xf numFmtId="0" fontId="0" fillId="6" borderId="1" xfId="0" applyFill="1" applyBorder="1" applyAlignment="1">
      <alignment vertical="center"/>
    </xf>
    <xf numFmtId="0" fontId="0" fillId="9" borderId="37" xfId="0" applyFill="1" applyBorder="1" applyAlignment="1">
      <alignment vertical="center"/>
    </xf>
    <xf numFmtId="0" fontId="0" fillId="9" borderId="1" xfId="0" applyFill="1" applyBorder="1" applyAlignment="1">
      <alignment vertical="center"/>
    </xf>
    <xf numFmtId="0" fontId="0" fillId="10" borderId="37" xfId="0" applyFill="1" applyBorder="1" applyAlignment="1">
      <alignment vertical="center"/>
    </xf>
    <xf numFmtId="0" fontId="0" fillId="10" borderId="1" xfId="0" applyFill="1" applyBorder="1"/>
    <xf numFmtId="0" fontId="0" fillId="11" borderId="37" xfId="0" applyFill="1" applyBorder="1" applyAlignment="1">
      <alignment vertical="center"/>
    </xf>
    <xf numFmtId="0" fontId="0" fillId="11" borderId="1" xfId="0" applyFill="1" applyBorder="1"/>
    <xf numFmtId="0" fontId="0" fillId="12" borderId="37" xfId="0" applyFill="1" applyBorder="1" applyAlignment="1">
      <alignment vertical="center"/>
    </xf>
    <xf numFmtId="0" fontId="0" fillId="12" borderId="1" xfId="0" applyFill="1" applyBorder="1"/>
    <xf numFmtId="0" fontId="0" fillId="2" borderId="38" xfId="0" applyFill="1" applyBorder="1" applyAlignment="1">
      <alignment vertical="center"/>
    </xf>
    <xf numFmtId="0" fontId="0" fillId="2" borderId="1" xfId="0" applyFill="1" applyBorder="1"/>
    <xf numFmtId="0" fontId="0" fillId="0" borderId="0" xfId="0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/>
    <xf numFmtId="0" fontId="1" fillId="13" borderId="5" xfId="0" applyFon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 vertical="center"/>
    </xf>
    <xf numFmtId="0" fontId="1" fillId="13" borderId="8" xfId="0" applyFont="1" applyFill="1" applyBorder="1" applyAlignment="1">
      <alignment horizontal="center" vertical="center"/>
    </xf>
    <xf numFmtId="0" fontId="1" fillId="13" borderId="40" xfId="0" applyFont="1" applyFill="1" applyBorder="1" applyAlignment="1">
      <alignment horizontal="center" vertical="center"/>
    </xf>
    <xf numFmtId="0" fontId="1" fillId="13" borderId="9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9" borderId="1" xfId="0" applyFill="1" applyBorder="1"/>
    <xf numFmtId="0" fontId="0" fillId="8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8" fillId="0" borderId="41" xfId="0" applyFont="1" applyBorder="1" applyAlignment="1">
      <alignment horizontal="right" vertical="center"/>
    </xf>
    <xf numFmtId="0" fontId="0" fillId="0" borderId="0" xfId="0" applyAlignment="1">
      <alignment horizontal="right"/>
    </xf>
    <xf numFmtId="0" fontId="1" fillId="13" borderId="8" xfId="0" applyFont="1" applyFill="1" applyBorder="1" applyAlignment="1">
      <alignment horizontal="left" vertical="center" wrapText="1"/>
    </xf>
    <xf numFmtId="0" fontId="1" fillId="9" borderId="8" xfId="0" applyFont="1" applyFill="1" applyBorder="1" applyAlignment="1">
      <alignment horizontal="left" vertical="center" wrapText="1"/>
    </xf>
    <xf numFmtId="0" fontId="6" fillId="6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27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/>
    </xf>
    <xf numFmtId="0" fontId="1" fillId="3" borderId="29" xfId="0" applyFont="1" applyFill="1" applyBorder="1" applyAlignment="1">
      <alignment horizontal="center" vertical="center"/>
    </xf>
    <xf numFmtId="0" fontId="1" fillId="3" borderId="30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/>
    </xf>
    <xf numFmtId="0" fontId="1" fillId="13" borderId="3" xfId="0" applyFont="1" applyFill="1" applyBorder="1" applyAlignment="1">
      <alignment horizontal="center"/>
    </xf>
    <xf numFmtId="0" fontId="1" fillId="13" borderId="4" xfId="0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5" fillId="2" borderId="24" xfId="0" applyFont="1" applyFill="1" applyBorder="1" applyAlignment="1">
      <alignment horizontal="center" vertical="center"/>
    </xf>
    <xf numFmtId="0" fontId="5" fillId="2" borderId="25" xfId="0" applyFont="1" applyFill="1" applyBorder="1" applyAlignment="1">
      <alignment horizontal="center" vertical="center"/>
    </xf>
    <xf numFmtId="0" fontId="5" fillId="2" borderId="26" xfId="0" applyFont="1" applyFill="1" applyBorder="1" applyAlignment="1">
      <alignment horizontal="center" vertical="center"/>
    </xf>
    <xf numFmtId="0" fontId="5" fillId="2" borderId="27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horizontal="center" vertical="center"/>
    </xf>
    <xf numFmtId="0" fontId="6" fillId="5" borderId="24" xfId="0" applyFont="1" applyFill="1" applyBorder="1" applyAlignment="1">
      <alignment horizontal="center" vertical="center"/>
    </xf>
    <xf numFmtId="0" fontId="6" fillId="5" borderId="25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horizontal="center" vertical="center"/>
    </xf>
    <xf numFmtId="0" fontId="1" fillId="3" borderId="16" xfId="0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31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FF99"/>
      <color rgb="FFFF66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390525</xdr:colOff>
      <xdr:row>54</xdr:row>
      <xdr:rowOff>10716</xdr:rowOff>
    </xdr:from>
    <xdr:to>
      <xdr:col>6</xdr:col>
      <xdr:colOff>790575</xdr:colOff>
      <xdr:row>68</xdr:row>
      <xdr:rowOff>172641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B7EB9D73-C6C3-A83F-A817-9757AF9FF7F0}"/>
            </a:ext>
          </a:extLst>
        </xdr:cNvPr>
        <xdr:cNvSpPr/>
      </xdr:nvSpPr>
      <xdr:spPr>
        <a:xfrm>
          <a:off x="7486650" y="10839450"/>
          <a:ext cx="400050" cy="2828925"/>
        </a:xfrm>
        <a:prstGeom prst="downArrow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113109</xdr:colOff>
      <xdr:row>54</xdr:row>
      <xdr:rowOff>9525</xdr:rowOff>
    </xdr:from>
    <xdr:to>
      <xdr:col>6</xdr:col>
      <xdr:colOff>442912</xdr:colOff>
      <xdr:row>68</xdr:row>
      <xdr:rowOff>180975</xdr:rowOff>
    </xdr:to>
    <xdr:sp macro="" textlink="">
      <xdr:nvSpPr>
        <xdr:cNvPr id="3" name="Right Brace 2">
          <a:extLst>
            <a:ext uri="{FF2B5EF4-FFF2-40B4-BE49-F238E27FC236}">
              <a16:creationId xmlns:a16="http://schemas.microsoft.com/office/drawing/2014/main" id="{EDBFD13A-4411-8999-A7E1-DCF417001E0B}"/>
            </a:ext>
          </a:extLst>
        </xdr:cNvPr>
        <xdr:cNvSpPr/>
      </xdr:nvSpPr>
      <xdr:spPr>
        <a:xfrm>
          <a:off x="7209234" y="10838259"/>
          <a:ext cx="329803" cy="2838450"/>
        </a:xfrm>
        <a:prstGeom prst="rightBrace">
          <a:avLst>
            <a:gd name="adj1" fmla="val 92572"/>
            <a:gd name="adj2" fmla="val 50000"/>
          </a:avLst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6</xdr:col>
      <xdr:colOff>723900</xdr:colOff>
      <xdr:row>60</xdr:row>
      <xdr:rowOff>66675</xdr:rowOff>
    </xdr:from>
    <xdr:ext cx="1780616" cy="40543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C5C13A9-41E1-B7C4-A973-8A830A94121E}"/>
            </a:ext>
          </a:extLst>
        </xdr:cNvPr>
        <xdr:cNvSpPr txBox="1"/>
      </xdr:nvSpPr>
      <xdr:spPr>
        <a:xfrm>
          <a:off x="7820025" y="12011025"/>
          <a:ext cx="1780616" cy="4054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FF0000"/>
              </a:solidFill>
            </a:rPr>
            <a:t>Simulate Here!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BA418-3C78-4311-A2F0-DEE46EA2099E}">
  <sheetPr codeName="Sheet1"/>
  <dimension ref="B1:P1048569"/>
  <sheetViews>
    <sheetView tabSelected="1" zoomScaleNormal="100" workbookViewId="0">
      <selection activeCell="G67" sqref="G67"/>
    </sheetView>
  </sheetViews>
  <sheetFormatPr defaultRowHeight="15" x14ac:dyDescent="0.25"/>
  <cols>
    <col min="1" max="1" width="5.7109375" customWidth="1"/>
    <col min="2" max="2" width="16.7109375" customWidth="1"/>
    <col min="3" max="3" width="36.5703125" customWidth="1"/>
    <col min="4" max="5" width="13.5703125" customWidth="1"/>
    <col min="6" max="6" width="20.28515625" style="1" bestFit="1" customWidth="1"/>
    <col min="7" max="7" width="108.42578125" style="10" customWidth="1"/>
    <col min="8" max="8" width="11.5703125" customWidth="1"/>
    <col min="9" max="9" width="15.85546875" customWidth="1"/>
    <col min="10" max="10" width="11.5703125" customWidth="1"/>
    <col min="11" max="11" width="4.140625" customWidth="1"/>
    <col min="12" max="12" width="12.5703125" style="3" customWidth="1"/>
    <col min="13" max="13" width="19.42578125" style="3" bestFit="1" customWidth="1"/>
    <col min="14" max="14" width="12.5703125" style="3" customWidth="1"/>
    <col min="15" max="16" width="11.140625" style="3" customWidth="1"/>
  </cols>
  <sheetData>
    <row r="1" spans="2:16" ht="15.75" thickBot="1" x14ac:dyDescent="0.3"/>
    <row r="2" spans="2:16" x14ac:dyDescent="0.25">
      <c r="B2" s="116" t="s">
        <v>30</v>
      </c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8"/>
    </row>
    <row r="3" spans="2:16" ht="15.75" thickBot="1" x14ac:dyDescent="0.3">
      <c r="B3" s="119"/>
      <c r="C3" s="120"/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1"/>
    </row>
    <row r="4" spans="2:16" ht="15.75" thickBot="1" x14ac:dyDescent="0.3"/>
    <row r="5" spans="2:16" x14ac:dyDescent="0.25">
      <c r="B5" s="106" t="s">
        <v>29</v>
      </c>
      <c r="C5" s="107"/>
      <c r="D5" s="107"/>
      <c r="E5" s="107"/>
      <c r="F5" s="107"/>
      <c r="G5" s="107"/>
      <c r="H5" s="107"/>
      <c r="I5" s="108"/>
      <c r="J5" s="109"/>
      <c r="L5" s="110" t="s">
        <v>25</v>
      </c>
      <c r="M5" s="111"/>
      <c r="N5" s="111"/>
      <c r="O5" s="111"/>
      <c r="P5" s="112"/>
    </row>
    <row r="6" spans="2:16" ht="15.75" thickBot="1" x14ac:dyDescent="0.3">
      <c r="B6" s="14" t="s">
        <v>24</v>
      </c>
      <c r="C6" s="15" t="s">
        <v>24</v>
      </c>
      <c r="D6" s="15" t="s">
        <v>24</v>
      </c>
      <c r="E6" s="15" t="s">
        <v>24</v>
      </c>
      <c r="F6" s="15" t="s">
        <v>24</v>
      </c>
      <c r="G6" s="15" t="s">
        <v>24</v>
      </c>
      <c r="H6" s="15" t="s">
        <v>24</v>
      </c>
      <c r="I6" s="26" t="s">
        <v>28</v>
      </c>
      <c r="J6" s="16" t="s">
        <v>24</v>
      </c>
      <c r="K6" s="2"/>
      <c r="L6" s="113"/>
      <c r="M6" s="114"/>
      <c r="N6" s="114"/>
      <c r="O6" s="114"/>
      <c r="P6" s="115"/>
    </row>
    <row r="7" spans="2:16" ht="46.5" customHeight="1" thickBot="1" x14ac:dyDescent="0.3">
      <c r="B7" s="11" t="s">
        <v>4</v>
      </c>
      <c r="C7" s="31" t="s">
        <v>8</v>
      </c>
      <c r="D7" s="12" t="s">
        <v>21</v>
      </c>
      <c r="E7" s="12" t="s">
        <v>22</v>
      </c>
      <c r="F7" s="12" t="s">
        <v>23</v>
      </c>
      <c r="G7" s="12" t="s">
        <v>69</v>
      </c>
      <c r="H7" s="12" t="s">
        <v>20</v>
      </c>
      <c r="I7" s="27" t="s">
        <v>27</v>
      </c>
      <c r="J7" s="13" t="s">
        <v>26</v>
      </c>
      <c r="L7" s="28" t="s">
        <v>10</v>
      </c>
      <c r="M7" s="29" t="s">
        <v>0</v>
      </c>
      <c r="N7" s="29" t="s">
        <v>1</v>
      </c>
      <c r="O7" s="29" t="s">
        <v>2</v>
      </c>
      <c r="P7" s="30" t="s">
        <v>3</v>
      </c>
    </row>
    <row r="8" spans="2:16" x14ac:dyDescent="0.25">
      <c r="B8" s="5"/>
      <c r="C8" s="6"/>
      <c r="D8" s="122" t="s">
        <v>12</v>
      </c>
      <c r="E8" s="123"/>
      <c r="F8" s="123"/>
      <c r="G8" s="123"/>
      <c r="H8" s="123"/>
      <c r="I8" s="123"/>
      <c r="J8" s="124"/>
      <c r="L8" s="19"/>
      <c r="M8" s="20"/>
      <c r="N8" s="20"/>
      <c r="O8" s="20"/>
      <c r="P8" s="21"/>
    </row>
    <row r="9" spans="2:16" x14ac:dyDescent="0.25">
      <c r="B9" s="7"/>
      <c r="C9" s="4"/>
      <c r="D9" s="90">
        <v>10</v>
      </c>
      <c r="E9" s="8">
        <v>0</v>
      </c>
      <c r="F9" s="8" t="s">
        <v>43</v>
      </c>
      <c r="G9" s="4" t="s">
        <v>84</v>
      </c>
      <c r="H9" s="8"/>
      <c r="I9" s="51"/>
      <c r="J9" s="9" t="s">
        <v>112</v>
      </c>
      <c r="L9" s="22" t="s">
        <v>10</v>
      </c>
      <c r="M9" s="8" t="s">
        <v>43</v>
      </c>
      <c r="N9" s="17" t="s">
        <v>6</v>
      </c>
      <c r="O9" s="17" t="s">
        <v>5</v>
      </c>
      <c r="P9" s="23" t="s">
        <v>5</v>
      </c>
    </row>
    <row r="10" spans="2:16" x14ac:dyDescent="0.25">
      <c r="B10" s="7"/>
      <c r="C10" s="4"/>
      <c r="D10" s="90"/>
      <c r="E10" s="8">
        <v>1</v>
      </c>
      <c r="F10" s="8" t="s">
        <v>44</v>
      </c>
      <c r="G10" s="4" t="s">
        <v>38</v>
      </c>
      <c r="H10" s="8"/>
      <c r="I10" s="51"/>
      <c r="J10" s="9" t="s">
        <v>112</v>
      </c>
      <c r="L10" s="22" t="s">
        <v>10</v>
      </c>
      <c r="M10" s="8" t="s">
        <v>44</v>
      </c>
      <c r="N10" s="17" t="s">
        <v>7</v>
      </c>
      <c r="O10" s="17" t="s">
        <v>5</v>
      </c>
      <c r="P10" s="23" t="s">
        <v>5</v>
      </c>
    </row>
    <row r="11" spans="2:16" x14ac:dyDescent="0.25">
      <c r="B11" s="7"/>
      <c r="C11" s="8"/>
      <c r="D11" s="90"/>
      <c r="E11" s="8">
        <v>2</v>
      </c>
      <c r="F11" s="8" t="s">
        <v>44</v>
      </c>
      <c r="G11" s="4" t="s">
        <v>11</v>
      </c>
      <c r="H11" s="8"/>
      <c r="I11" s="51"/>
      <c r="J11" s="9" t="s">
        <v>112</v>
      </c>
      <c r="L11" s="22" t="s">
        <v>9</v>
      </c>
      <c r="M11" s="8" t="s">
        <v>44</v>
      </c>
      <c r="N11" s="17" t="s">
        <v>7</v>
      </c>
      <c r="O11" s="17" t="s">
        <v>5</v>
      </c>
      <c r="P11" s="23"/>
    </row>
    <row r="12" spans="2:16" x14ac:dyDescent="0.25">
      <c r="B12" s="103"/>
      <c r="C12" s="104"/>
      <c r="D12" s="104"/>
      <c r="E12" s="104"/>
      <c r="F12" s="104"/>
      <c r="G12" s="104"/>
      <c r="H12" s="104"/>
      <c r="I12" s="104"/>
      <c r="J12" s="105"/>
      <c r="L12" s="22"/>
      <c r="M12" s="17"/>
      <c r="N12" s="17"/>
      <c r="O12" s="17"/>
      <c r="P12" s="23"/>
    </row>
    <row r="13" spans="2:16" x14ac:dyDescent="0.25">
      <c r="B13" s="7"/>
      <c r="C13" s="8"/>
      <c r="D13" s="125" t="s">
        <v>33</v>
      </c>
      <c r="E13" s="126"/>
      <c r="F13" s="126"/>
      <c r="G13" s="126"/>
      <c r="H13" s="126"/>
      <c r="I13" s="126"/>
      <c r="J13" s="127"/>
      <c r="L13" s="22"/>
      <c r="M13" s="17"/>
      <c r="N13" s="17"/>
      <c r="O13" s="17"/>
      <c r="P13" s="23"/>
    </row>
    <row r="14" spans="2:16" x14ac:dyDescent="0.25">
      <c r="B14" s="7"/>
      <c r="C14" s="8"/>
      <c r="D14" s="8">
        <v>11</v>
      </c>
      <c r="E14" s="8">
        <v>0</v>
      </c>
      <c r="F14" s="8" t="s">
        <v>45</v>
      </c>
      <c r="G14" s="4" t="s">
        <v>84</v>
      </c>
      <c r="H14" s="8"/>
      <c r="I14" s="51"/>
      <c r="J14" s="9" t="s">
        <v>112</v>
      </c>
      <c r="L14" s="22" t="s">
        <v>10</v>
      </c>
      <c r="M14" s="8" t="s">
        <v>45</v>
      </c>
      <c r="N14" s="17" t="s">
        <v>6</v>
      </c>
      <c r="O14" s="17" t="s">
        <v>5</v>
      </c>
      <c r="P14" s="23" t="s">
        <v>5</v>
      </c>
    </row>
    <row r="15" spans="2:16" x14ac:dyDescent="0.25">
      <c r="B15" s="103"/>
      <c r="C15" s="104"/>
      <c r="D15" s="104"/>
      <c r="E15" s="104"/>
      <c r="F15" s="104"/>
      <c r="G15" s="104"/>
      <c r="H15" s="104"/>
      <c r="I15" s="104"/>
      <c r="J15" s="105"/>
      <c r="L15" s="22"/>
      <c r="M15" s="17"/>
      <c r="N15" s="17"/>
      <c r="O15" s="17"/>
      <c r="P15" s="23"/>
    </row>
    <row r="16" spans="2:16" x14ac:dyDescent="0.25">
      <c r="B16" s="7"/>
      <c r="C16" s="8"/>
      <c r="D16" s="91" t="s">
        <v>15</v>
      </c>
      <c r="E16" s="92"/>
      <c r="F16" s="92"/>
      <c r="G16" s="92"/>
      <c r="H16" s="92"/>
      <c r="I16" s="92"/>
      <c r="J16" s="93"/>
      <c r="L16" s="22"/>
      <c r="M16" s="17"/>
      <c r="N16" s="17"/>
      <c r="O16" s="17"/>
      <c r="P16" s="23"/>
    </row>
    <row r="17" spans="2:16" x14ac:dyDescent="0.25">
      <c r="B17" s="7"/>
      <c r="C17" s="8"/>
      <c r="D17" s="90">
        <v>12</v>
      </c>
      <c r="E17" s="8">
        <v>0</v>
      </c>
      <c r="F17" s="8" t="s">
        <v>46</v>
      </c>
      <c r="G17" s="4" t="s">
        <v>84</v>
      </c>
      <c r="H17" s="8"/>
      <c r="I17" s="51"/>
      <c r="J17" s="9" t="s">
        <v>112</v>
      </c>
      <c r="L17" s="22" t="s">
        <v>10</v>
      </c>
      <c r="M17" s="8" t="s">
        <v>46</v>
      </c>
      <c r="N17" s="17" t="s">
        <v>6</v>
      </c>
      <c r="O17" s="17" t="s">
        <v>5</v>
      </c>
      <c r="P17" s="23" t="s">
        <v>5</v>
      </c>
    </row>
    <row r="18" spans="2:16" x14ac:dyDescent="0.25">
      <c r="B18" s="7"/>
      <c r="C18" s="8"/>
      <c r="D18" s="90"/>
      <c r="E18" s="8">
        <v>1</v>
      </c>
      <c r="F18" s="8" t="s">
        <v>47</v>
      </c>
      <c r="G18" s="4" t="s">
        <v>38</v>
      </c>
      <c r="H18" s="8"/>
      <c r="I18" s="51"/>
      <c r="J18" s="9" t="s">
        <v>112</v>
      </c>
      <c r="L18" s="22" t="s">
        <v>10</v>
      </c>
      <c r="M18" s="8" t="s">
        <v>47</v>
      </c>
      <c r="N18" s="17" t="s">
        <v>7</v>
      </c>
      <c r="O18" s="17" t="s">
        <v>5</v>
      </c>
      <c r="P18" s="23" t="s">
        <v>5</v>
      </c>
    </row>
    <row r="19" spans="2:16" x14ac:dyDescent="0.25">
      <c r="B19" s="7"/>
      <c r="C19" s="8"/>
      <c r="D19" s="90"/>
      <c r="E19" s="8">
        <v>2</v>
      </c>
      <c r="F19" s="8" t="s">
        <v>47</v>
      </c>
      <c r="G19" s="4" t="s">
        <v>13</v>
      </c>
      <c r="H19" s="8"/>
      <c r="I19" s="51"/>
      <c r="J19" s="9" t="s">
        <v>112</v>
      </c>
      <c r="L19" s="22" t="s">
        <v>9</v>
      </c>
      <c r="M19" s="8" t="s">
        <v>47</v>
      </c>
      <c r="N19" s="17" t="s">
        <v>7</v>
      </c>
      <c r="O19" s="17" t="s">
        <v>5</v>
      </c>
      <c r="P19" s="23"/>
    </row>
    <row r="20" spans="2:16" x14ac:dyDescent="0.25">
      <c r="B20" s="7"/>
      <c r="C20" s="8"/>
      <c r="D20" s="90"/>
      <c r="E20" s="8">
        <v>3</v>
      </c>
      <c r="F20" s="8" t="s">
        <v>47</v>
      </c>
      <c r="G20" s="4" t="s">
        <v>37</v>
      </c>
      <c r="H20" s="8"/>
      <c r="I20" s="51"/>
      <c r="J20" s="9" t="s">
        <v>112</v>
      </c>
      <c r="L20" s="22" t="s">
        <v>9</v>
      </c>
      <c r="M20" s="8" t="s">
        <v>47</v>
      </c>
      <c r="N20" s="17" t="s">
        <v>7</v>
      </c>
      <c r="O20" s="17" t="s">
        <v>5</v>
      </c>
      <c r="P20" s="23"/>
    </row>
    <row r="21" spans="2:16" x14ac:dyDescent="0.25">
      <c r="B21" s="103"/>
      <c r="C21" s="104"/>
      <c r="D21" s="104"/>
      <c r="E21" s="104"/>
      <c r="F21" s="104"/>
      <c r="G21" s="104"/>
      <c r="H21" s="104"/>
      <c r="I21" s="104"/>
      <c r="J21" s="105"/>
      <c r="L21" s="22"/>
      <c r="M21" s="17"/>
      <c r="N21" s="17"/>
      <c r="O21" s="17"/>
      <c r="P21" s="23"/>
    </row>
    <row r="22" spans="2:16" x14ac:dyDescent="0.25">
      <c r="B22" s="7"/>
      <c r="C22" s="8"/>
      <c r="D22" s="91" t="s">
        <v>16</v>
      </c>
      <c r="E22" s="92"/>
      <c r="F22" s="92"/>
      <c r="G22" s="92"/>
      <c r="H22" s="92"/>
      <c r="I22" s="92"/>
      <c r="J22" s="93"/>
      <c r="L22" s="22"/>
      <c r="M22" s="17"/>
      <c r="N22" s="17"/>
      <c r="O22" s="17"/>
      <c r="P22" s="23"/>
    </row>
    <row r="23" spans="2:16" x14ac:dyDescent="0.25">
      <c r="B23" s="7"/>
      <c r="C23" s="8"/>
      <c r="D23" s="90">
        <v>13</v>
      </c>
      <c r="E23" s="8">
        <v>0</v>
      </c>
      <c r="F23" s="8" t="s">
        <v>48</v>
      </c>
      <c r="G23" s="4" t="s">
        <v>84</v>
      </c>
      <c r="H23" s="8"/>
      <c r="I23" s="51"/>
      <c r="J23" s="9" t="s">
        <v>112</v>
      </c>
      <c r="L23" s="22" t="s">
        <v>10</v>
      </c>
      <c r="M23" s="8" t="s">
        <v>48</v>
      </c>
      <c r="N23" s="17" t="s">
        <v>6</v>
      </c>
      <c r="O23" s="17" t="s">
        <v>5</v>
      </c>
      <c r="P23" s="23" t="s">
        <v>5</v>
      </c>
    </row>
    <row r="24" spans="2:16" x14ac:dyDescent="0.25">
      <c r="B24" s="7"/>
      <c r="C24" s="8"/>
      <c r="D24" s="90"/>
      <c r="E24" s="8">
        <v>1</v>
      </c>
      <c r="F24" s="8" t="s">
        <v>49</v>
      </c>
      <c r="G24" s="4" t="s">
        <v>39</v>
      </c>
      <c r="H24" s="8"/>
      <c r="I24" s="51"/>
      <c r="J24" s="9" t="s">
        <v>112</v>
      </c>
      <c r="L24" s="22" t="s">
        <v>9</v>
      </c>
      <c r="M24" s="8" t="s">
        <v>49</v>
      </c>
      <c r="N24" s="17" t="s">
        <v>7</v>
      </c>
      <c r="O24" s="17" t="s">
        <v>5</v>
      </c>
      <c r="P24" s="23"/>
    </row>
    <row r="25" spans="2:16" x14ac:dyDescent="0.25">
      <c r="B25" s="103"/>
      <c r="C25" s="104"/>
      <c r="D25" s="104"/>
      <c r="E25" s="104"/>
      <c r="F25" s="104"/>
      <c r="G25" s="104"/>
      <c r="H25" s="104"/>
      <c r="I25" s="104"/>
      <c r="J25" s="105"/>
      <c r="L25" s="22"/>
      <c r="M25" s="17"/>
      <c r="N25" s="17"/>
      <c r="O25" s="17"/>
      <c r="P25" s="23"/>
    </row>
    <row r="26" spans="2:16" x14ac:dyDescent="0.25">
      <c r="B26" s="7"/>
      <c r="C26" s="8"/>
      <c r="D26" s="91" t="s">
        <v>17</v>
      </c>
      <c r="E26" s="92"/>
      <c r="F26" s="92"/>
      <c r="G26" s="92"/>
      <c r="H26" s="92"/>
      <c r="I26" s="92"/>
      <c r="J26" s="93"/>
      <c r="L26" s="22"/>
      <c r="M26" s="17"/>
      <c r="N26" s="17"/>
      <c r="O26" s="17"/>
      <c r="P26" s="23"/>
    </row>
    <row r="27" spans="2:16" x14ac:dyDescent="0.25">
      <c r="B27" s="7"/>
      <c r="C27" s="8"/>
      <c r="D27" s="90">
        <v>14</v>
      </c>
      <c r="E27" s="8">
        <v>0</v>
      </c>
      <c r="F27" s="8" t="s">
        <v>50</v>
      </c>
      <c r="G27" s="4" t="s">
        <v>84</v>
      </c>
      <c r="H27" s="8"/>
      <c r="I27" s="51"/>
      <c r="J27" s="9" t="s">
        <v>112</v>
      </c>
      <c r="L27" s="22" t="s">
        <v>10</v>
      </c>
      <c r="M27" s="8" t="s">
        <v>50</v>
      </c>
      <c r="N27" s="17" t="s">
        <v>6</v>
      </c>
      <c r="O27" s="17" t="s">
        <v>5</v>
      </c>
      <c r="P27" s="23" t="s">
        <v>5</v>
      </c>
    </row>
    <row r="28" spans="2:16" x14ac:dyDescent="0.25">
      <c r="B28" s="7"/>
      <c r="C28" s="8"/>
      <c r="D28" s="90"/>
      <c r="E28" s="8">
        <v>1</v>
      </c>
      <c r="F28" s="8" t="s">
        <v>51</v>
      </c>
      <c r="G28" s="4" t="s">
        <v>38</v>
      </c>
      <c r="H28" s="8"/>
      <c r="I28" s="51"/>
      <c r="J28" s="9" t="s">
        <v>112</v>
      </c>
      <c r="L28" s="22" t="s">
        <v>10</v>
      </c>
      <c r="M28" s="8" t="s">
        <v>51</v>
      </c>
      <c r="N28" s="17" t="s">
        <v>7</v>
      </c>
      <c r="O28" s="17" t="s">
        <v>5</v>
      </c>
      <c r="P28" s="23" t="s">
        <v>5</v>
      </c>
    </row>
    <row r="29" spans="2:16" x14ac:dyDescent="0.25">
      <c r="B29" s="7"/>
      <c r="C29" s="8"/>
      <c r="D29" s="90"/>
      <c r="E29" s="8">
        <v>2</v>
      </c>
      <c r="F29" s="8" t="s">
        <v>51</v>
      </c>
      <c r="G29" s="4" t="s">
        <v>11</v>
      </c>
      <c r="H29" s="8"/>
      <c r="I29" s="51"/>
      <c r="J29" s="9" t="s">
        <v>112</v>
      </c>
      <c r="L29" s="22" t="s">
        <v>9</v>
      </c>
      <c r="M29" s="8" t="s">
        <v>51</v>
      </c>
      <c r="N29" s="17" t="s">
        <v>7</v>
      </c>
      <c r="O29" s="17" t="s">
        <v>5</v>
      </c>
      <c r="P29" s="23"/>
    </row>
    <row r="30" spans="2:16" x14ac:dyDescent="0.25">
      <c r="B30" s="7"/>
      <c r="C30" s="8"/>
      <c r="D30" s="90"/>
      <c r="E30" s="8">
        <v>3</v>
      </c>
      <c r="F30" s="8" t="s">
        <v>51</v>
      </c>
      <c r="G30" s="4" t="s">
        <v>40</v>
      </c>
      <c r="H30" s="8"/>
      <c r="I30" s="51"/>
      <c r="J30" s="9" t="s">
        <v>112</v>
      </c>
      <c r="L30" s="22" t="s">
        <v>9</v>
      </c>
      <c r="M30" s="8" t="s">
        <v>51</v>
      </c>
      <c r="N30" s="17" t="s">
        <v>7</v>
      </c>
      <c r="O30" s="17" t="s">
        <v>5</v>
      </c>
      <c r="P30" s="23"/>
    </row>
    <row r="31" spans="2:16" x14ac:dyDescent="0.25">
      <c r="B31" s="103"/>
      <c r="C31" s="104"/>
      <c r="D31" s="104"/>
      <c r="E31" s="104"/>
      <c r="F31" s="104"/>
      <c r="G31" s="104"/>
      <c r="H31" s="104"/>
      <c r="I31" s="104"/>
      <c r="J31" s="105"/>
      <c r="L31" s="22"/>
      <c r="M31" s="17"/>
      <c r="N31" s="17"/>
      <c r="O31" s="17"/>
      <c r="P31" s="23"/>
    </row>
    <row r="32" spans="2:16" x14ac:dyDescent="0.25">
      <c r="B32" s="7"/>
      <c r="C32" s="8"/>
      <c r="D32" s="91" t="s">
        <v>18</v>
      </c>
      <c r="E32" s="92"/>
      <c r="F32" s="92"/>
      <c r="G32" s="92"/>
      <c r="H32" s="92"/>
      <c r="I32" s="92"/>
      <c r="J32" s="93"/>
      <c r="L32" s="22"/>
      <c r="M32" s="17"/>
      <c r="N32" s="17"/>
      <c r="O32" s="17"/>
      <c r="P32" s="23"/>
    </row>
    <row r="33" spans="2:16" x14ac:dyDescent="0.25">
      <c r="B33" s="7"/>
      <c r="C33" s="8"/>
      <c r="D33" s="90">
        <v>15</v>
      </c>
      <c r="E33" s="8">
        <v>0</v>
      </c>
      <c r="F33" s="8" t="s">
        <v>75</v>
      </c>
      <c r="G33" s="4" t="s">
        <v>84</v>
      </c>
      <c r="H33" s="8"/>
      <c r="I33" s="51"/>
      <c r="J33" s="9" t="s">
        <v>112</v>
      </c>
      <c r="L33" s="22" t="s">
        <v>10</v>
      </c>
      <c r="M33" s="8" t="s">
        <v>75</v>
      </c>
      <c r="N33" s="17" t="s">
        <v>6</v>
      </c>
      <c r="O33" s="17" t="s">
        <v>5</v>
      </c>
      <c r="P33" s="23" t="s">
        <v>5</v>
      </c>
    </row>
    <row r="34" spans="2:16" x14ac:dyDescent="0.25">
      <c r="B34" s="7"/>
      <c r="C34" s="8"/>
      <c r="D34" s="90"/>
      <c r="E34" s="8">
        <v>1</v>
      </c>
      <c r="F34" s="8" t="s">
        <v>76</v>
      </c>
      <c r="G34" s="4" t="s">
        <v>41</v>
      </c>
      <c r="H34" s="8"/>
      <c r="I34" s="51"/>
      <c r="J34" s="9" t="s">
        <v>112</v>
      </c>
      <c r="L34" s="22" t="s">
        <v>9</v>
      </c>
      <c r="M34" s="8" t="s">
        <v>76</v>
      </c>
      <c r="N34" s="17" t="s">
        <v>7</v>
      </c>
      <c r="O34" s="17" t="s">
        <v>5</v>
      </c>
      <c r="P34" s="23"/>
    </row>
    <row r="35" spans="2:16" x14ac:dyDescent="0.25">
      <c r="B35" s="7"/>
      <c r="C35" s="8"/>
      <c r="D35" s="90"/>
      <c r="E35" s="8">
        <v>2</v>
      </c>
      <c r="F35" s="8" t="s">
        <v>75</v>
      </c>
      <c r="G35" s="4" t="s">
        <v>80</v>
      </c>
      <c r="H35" s="8"/>
      <c r="I35" s="51"/>
      <c r="J35" s="9" t="s">
        <v>112</v>
      </c>
      <c r="L35" s="22" t="s">
        <v>9</v>
      </c>
      <c r="M35" s="8" t="s">
        <v>75</v>
      </c>
      <c r="N35" s="17" t="s">
        <v>6</v>
      </c>
      <c r="O35" s="17" t="s">
        <v>5</v>
      </c>
      <c r="P35" s="23"/>
    </row>
    <row r="36" spans="2:16" x14ac:dyDescent="0.25">
      <c r="B36" s="103"/>
      <c r="C36" s="104"/>
      <c r="D36" s="104"/>
      <c r="E36" s="104"/>
      <c r="F36" s="104"/>
      <c r="G36" s="104"/>
      <c r="H36" s="104"/>
      <c r="I36" s="104"/>
      <c r="J36" s="105"/>
      <c r="L36" s="22"/>
      <c r="M36" s="17"/>
      <c r="N36" s="17"/>
      <c r="O36" s="17"/>
      <c r="P36" s="23"/>
    </row>
    <row r="37" spans="2:16" x14ac:dyDescent="0.25">
      <c r="B37" s="7"/>
      <c r="C37" s="8"/>
      <c r="D37" s="91" t="s">
        <v>35</v>
      </c>
      <c r="E37" s="92"/>
      <c r="F37" s="92"/>
      <c r="G37" s="92"/>
      <c r="H37" s="92"/>
      <c r="I37" s="92"/>
      <c r="J37" s="93"/>
      <c r="L37" s="22"/>
      <c r="M37" s="17"/>
      <c r="N37" s="17"/>
      <c r="O37" s="17"/>
      <c r="P37" s="23"/>
    </row>
    <row r="38" spans="2:16" x14ac:dyDescent="0.25">
      <c r="B38" s="7"/>
      <c r="C38" s="8"/>
      <c r="D38" s="90">
        <v>16</v>
      </c>
      <c r="E38" s="8">
        <v>0</v>
      </c>
      <c r="F38" s="8" t="s">
        <v>67</v>
      </c>
      <c r="G38" s="4" t="s">
        <v>113</v>
      </c>
      <c r="H38" s="8"/>
      <c r="I38" s="51"/>
      <c r="J38" s="9" t="s">
        <v>112</v>
      </c>
      <c r="L38" s="22" t="s">
        <v>10</v>
      </c>
      <c r="M38" s="8" t="s">
        <v>67</v>
      </c>
      <c r="N38" s="17" t="s">
        <v>6</v>
      </c>
      <c r="O38" s="17" t="s">
        <v>5</v>
      </c>
      <c r="P38" s="23" t="s">
        <v>5</v>
      </c>
    </row>
    <row r="39" spans="2:16" ht="15.75" thickBot="1" x14ac:dyDescent="0.3">
      <c r="B39" s="7"/>
      <c r="C39" s="8"/>
      <c r="D39" s="90"/>
      <c r="E39" s="8">
        <v>1</v>
      </c>
      <c r="F39" s="8" t="s">
        <v>52</v>
      </c>
      <c r="G39" s="4" t="s">
        <v>68</v>
      </c>
      <c r="H39" s="8"/>
      <c r="I39" s="51"/>
      <c r="J39" s="9" t="s">
        <v>112</v>
      </c>
      <c r="L39" s="24" t="s">
        <v>14</v>
      </c>
      <c r="M39" s="50" t="s">
        <v>52</v>
      </c>
      <c r="N39" s="18" t="s">
        <v>6</v>
      </c>
      <c r="O39" s="18" t="s">
        <v>5</v>
      </c>
      <c r="P39" s="25"/>
    </row>
    <row r="40" spans="2:16" ht="15.75" thickBot="1" x14ac:dyDescent="0.3">
      <c r="B40" s="100"/>
      <c r="C40" s="101"/>
      <c r="D40" s="101"/>
      <c r="E40" s="101"/>
      <c r="F40" s="101"/>
      <c r="G40" s="101"/>
      <c r="H40" s="101"/>
      <c r="I40" s="101"/>
      <c r="J40" s="102"/>
    </row>
    <row r="41" spans="2:16" ht="15.75" thickBot="1" x14ac:dyDescent="0.3"/>
    <row r="42" spans="2:16" x14ac:dyDescent="0.25">
      <c r="B42" s="82" t="s">
        <v>62</v>
      </c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4"/>
    </row>
    <row r="43" spans="2:16" ht="15.75" thickBot="1" x14ac:dyDescent="0.3">
      <c r="B43" s="85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7"/>
    </row>
    <row r="44" spans="2:16" ht="15.75" thickBot="1" x14ac:dyDescent="0.3"/>
    <row r="45" spans="2:16" x14ac:dyDescent="0.25">
      <c r="B45" s="94" t="s">
        <v>81</v>
      </c>
      <c r="C45" s="95"/>
      <c r="D45" s="95"/>
      <c r="E45" s="95"/>
      <c r="F45" s="95"/>
      <c r="G45" s="95"/>
      <c r="H45" s="95"/>
      <c r="I45" s="95"/>
      <c r="J45" s="96"/>
      <c r="L45"/>
      <c r="M45"/>
      <c r="N45"/>
      <c r="O45"/>
      <c r="P45"/>
    </row>
    <row r="46" spans="2:16" x14ac:dyDescent="0.25">
      <c r="B46" s="54" t="s">
        <v>4</v>
      </c>
      <c r="C46" s="55" t="s">
        <v>85</v>
      </c>
      <c r="D46" s="55" t="s">
        <v>86</v>
      </c>
      <c r="E46" s="55" t="s">
        <v>87</v>
      </c>
      <c r="F46" s="55" t="s">
        <v>88</v>
      </c>
      <c r="G46" s="55" t="s">
        <v>110</v>
      </c>
      <c r="H46" s="55" t="s">
        <v>20</v>
      </c>
      <c r="I46" s="55" t="s">
        <v>89</v>
      </c>
      <c r="J46" s="56" t="s">
        <v>26</v>
      </c>
      <c r="L46"/>
      <c r="M46"/>
      <c r="N46"/>
      <c r="O46"/>
      <c r="P46"/>
    </row>
    <row r="47" spans="2:16" ht="35.25" customHeight="1" thickBot="1" x14ac:dyDescent="0.3">
      <c r="B47" s="57" t="str">
        <f>DEC2BIN(F55,8)</f>
        <v>00000001</v>
      </c>
      <c r="C47" s="58">
        <f>IF(F57="Write", DEC2BIN(F56*2,8)+1, DEC2BIN(F56*2,8))</f>
        <v>11001011</v>
      </c>
      <c r="D47" s="58" t="str">
        <f ca="1">IF("id1_"&amp;F58="id1_Pump",DEC2BIN(INDIRECT("id1_Pump"),8),IF("id1_"&amp;F58="id1_Valve",DEC2BIN(INDIRECT("id1_Valve"),8),IF("id1_"&amp;F58="id1_TempModule",DEC2BIN(INDIRECT("id1_TempModule"),8),IF("id1_"&amp;F58="id1_ODModule",DEC2BIN(INDIRECT("id1_ODModule"),8),IF("id1_"&amp;F58="id1_MagModule",DEC2BIN(INDIRECT("id1_MagModule"),8),IF("id1_"&amp;F58="id1_PhotonCounter",DEC2BIN(INDIRECT("id1_PhotonCounter"),8),IF("id1_"&amp;F58="id1_Tray",DEC2BIN(INDIRECT("id1_Tray"),8),"Not defined")))))))</f>
        <v>00010000</v>
      </c>
      <c r="E47" s="58" t="str">
        <f ca="1">IF("id2_"&amp;F58&amp;"_"&amp;F59="id2_Pump_On_Off",DEC2BIN(INDIRECT("id2_Pump_On_Off"),8),IF("id2_"&amp;F58&amp;"_"&amp;F59="id2_Pump_Set_Point",DEC2BIN(INDIRECT("id2_Pump_Set_Point"),8),IF("id2_"&amp;F58&amp;"_"&amp;F59="id2_Pump_Speed",DEC2BIN(INDIRECT("id2_Pump_Speed"),8),IF("id2_"&amp;F58&amp;"_"&amp;F59="id2_Valve_On_Off",DEC2BIN(INDIRECT("id2_Valve_On_Off"),8),IF("id2_"&amp;F58&amp;"_"&amp;F59="id2_TempModule_On_Off",DEC2BIN(INDIRECT("id2_TempModule_On_Off"),8),IF("id2_"&amp;F58&amp;"_"&amp;F59="id2_TempModule_Set_Point",DEC2BIN(INDIRECT("id2_TempModule_Set_Point"),8),IF("id2_"&amp;F58&amp;"_"&amp;F59="id2_TempModule_Temperature",DEC2BIN(INDIRECT("id2_TempModule_Temperature"),8),IF("id2_"&amp;F58&amp;"_"&amp;F59="id2_TempModule_Heater_Duty_Cycle",DEC2BIN(INDIRECT("id2_TempModule_Heater_Duty_Cycle"),8),IF("id2_"&amp;F58&amp;"_"&amp;F59="id2_ODModule_On_Off",DEC2BIN(INDIRECT("id2_ODModule_On_Off"),8),IF("id2_"&amp;F58&amp;"_"&amp;F59="id2_ODModule_OD_Value",DEC2BIN(INDIRECT("id2_ODModule_OD_Value"),8),IF("id2_"&amp;F58&amp;"_"&amp;F59="id2_MagModule_On_Off",DEC2BIN(INDIRECT("id2_MagModule_On_Off"),8),IF("id2_"&amp;F58&amp;"_"&amp;F59="id2_MagModule_Set_Point",DEC2BIN(INDIRECT("id2_MagModule_Set_Point"),8),IF("id2_"&amp;F58&amp;"_"&amp;F59="id2_MagModule_Speed",DEC2BIN(INDIRECT("id2_MagModule_Speed"),8),IF("id2_"&amp;F58&amp;"_"&amp;F59="id2_MagModule_Fan_Duty_Cycle",DEC2BIN(INDIRECT("id2_MagModule_Fan_Duty_Cycle"),8),IF("id2_"&amp;F58&amp;"_"&amp;F59="id2_PhotonCounter_On_Off",DEC2BIN(INDIRECT("id2_PhotonCounter_On_Off"),8),IF("id2_"&amp;F58&amp;"_"&amp;F59="id2_PhotonCounter_Photon_Counts",DEC2BIN(INDIRECT("id2_PhotonCounter_Photon_Counts"),8),IF("id2_"&amp;F58&amp;"_"&amp;F59="id2_PhotonCounter_Overlight_Detection",DEC2BIN(INDIRECT("id2_PhotonCounter_Overlight_Detection"),8),IF("id2_"&amp;F58&amp;"_"&amp;F59="id2_Tray_Position",DEC2BIN(INDIRECT("id2_Tray_Position"),8),IF("id2_"&amp;F58&amp;"_"&amp;F59="id2_Tray_Start",DEC2BIN(INDIRECT("id2_Tray_Start"),8),"Not Defined")))))))))))))))))))</f>
        <v>00000000</v>
      </c>
      <c r="F47" s="58" t="str">
        <f ca="1">IF("NPayload_"&amp;F58&amp;"_"&amp;F59="NPayload_Pump_On_Off",DEC2BIN(INDIRECT("NPayload_Pump_On_Off"),8),IF("NPayload_"&amp;F58&amp;"_"&amp;F59="NPayload_Pump_Set_Point",DEC2BIN(INDIRECT("NPayload_Pump_Set_Point"),8),IF("NPayload_"&amp;F58&amp;"_"&amp;F59="NPayload_Pump_Speed",DEC2BIN(INDIRECT("NPayload_Pump_Speed"),8),IF("NPayload_"&amp;F58&amp;"_"&amp;F59="NPayload_Valve_On_Off",DEC2BIN(INDIRECT("NPayload_Valve_On_Off"),8),IF("NPayload_"&amp;F58&amp;"_"&amp;F59="NPayload_TempModule_On_Off",DEC2BIN(INDIRECT("NPayload_TempModule_On_Off"),8),IF("NPayload_"&amp;F58&amp;"_"&amp;F59="NPayload_TempModule_Set_Point",DEC2BIN(INDIRECT("NPayload_TempModule_Set_Point"),8),IF("NPayload_"&amp;F58&amp;"_"&amp;F59="NPayload_TempModule_Temperature",DEC2BIN(INDIRECT("NPayload_TempModule_Temperature"),8),IF("NPayload_"&amp;F58&amp;"_"&amp;F59="NPayload_TempModule_Heater_Duty_Cycle",DEC2BIN(INDIRECT("NPayload_TempModule_Heater_Duty_Cycle"),8),IF("NPayload_"&amp;F58&amp;"_"&amp;F59="NPayload_ODModule_On_Off",DEC2BIN(INDIRECT("NPayload_ODModule_On_Off"),8),IF("NPayload_"&amp;F58&amp;"_"&amp;F59="NPayload_ODModule_OD_Value",DEC2BIN(INDIRECT("NPayload_ODModule_OD_Value"),8),IF("NPayload_"&amp;F58&amp;"_"&amp;F59="NPayload_MagModule_On_Off",DEC2BIN(INDIRECT("NPayload_MagModule_On_Off"),8),IF("NPayload_"&amp;F58&amp;"_"&amp;F59="NPayload_MagModule_Set_Point",DEC2BIN(INDIRECT("NPayload_MagModule_Set_Point"),8),IF("NPayload_"&amp;F58&amp;"_"&amp;F59="NPayload_MagModule_Speed",DEC2BIN(INDIRECT("NPayload_MagModule_Speed"),8),IF("NPayload_"&amp;F58&amp;"_"&amp;F59="NPayload_MagModule_Fan_Duty_Cycle",DEC2BIN(INDIRECT("NPayload_MagModule_Fan_Duty_Cycle"),8),IF("NPayload_"&amp;F58&amp;"_"&amp;F59="NPayload_PhotonCounter_On_Off",DEC2BIN(INDIRECT("NPayload_PhotonCounter_On_Off"),8),IF("NPayload_"&amp;F58&amp;"_"&amp;F59="NPayload_PhotonCounter_Photon_Counts",DEC2BIN(INDIRECT("NPayload_PhotonCounter_Photon_Counts"),8),IF("NPayload_"&amp;F58&amp;"_"&amp;F59="NPayload_PhotonCounter_Overlight_Detection",DEC2BIN(INDIRECT("NPayload_PhotonCounter_Overlight_Detection"),8),IF("NPayload_"&amp;F58&amp;"_"&amp;F59="NPayload_Tray_Position",DEC2BIN(INDIRECT("NPayload_Tray_Position"),8),IF("NPayload_"&amp;F58&amp;"_"&amp;F59="NPayload_Tray_Start",DEC2BIN(INDIRECT("NPayload_Tray_Start"),8),"Not Defined")))))))))))))))))))</f>
        <v>00000010</v>
      </c>
      <c r="G47" s="80" t="str" cm="1">
        <f t="array" aca="1" ref="G47" ca="1">HexTextToBinary(G51)</f>
        <v>11111100 11111100</v>
      </c>
      <c r="H47" s="58"/>
      <c r="I47" s="59"/>
      <c r="J47" s="60" t="s">
        <v>112</v>
      </c>
    </row>
    <row r="48" spans="2:16" ht="15.75" thickBot="1" x14ac:dyDescent="0.3"/>
    <row r="49" spans="2:10" x14ac:dyDescent="0.25">
      <c r="B49" s="97" t="s">
        <v>82</v>
      </c>
      <c r="C49" s="98"/>
      <c r="D49" s="98"/>
      <c r="E49" s="98"/>
      <c r="F49" s="98"/>
      <c r="G49" s="98"/>
      <c r="H49" s="98"/>
      <c r="I49" s="98"/>
      <c r="J49" s="99"/>
    </row>
    <row r="50" spans="2:10" x14ac:dyDescent="0.25">
      <c r="B50" s="61" t="s">
        <v>4</v>
      </c>
      <c r="C50" s="62" t="s">
        <v>85</v>
      </c>
      <c r="D50" s="62" t="s">
        <v>86</v>
      </c>
      <c r="E50" s="62" t="s">
        <v>87</v>
      </c>
      <c r="F50" s="62" t="s">
        <v>88</v>
      </c>
      <c r="G50" s="62" t="s">
        <v>111</v>
      </c>
      <c r="H50" s="62" t="s">
        <v>20</v>
      </c>
      <c r="I50" s="62" t="s">
        <v>89</v>
      </c>
      <c r="J50" s="63" t="s">
        <v>26</v>
      </c>
    </row>
    <row r="51" spans="2:10" ht="35.25" customHeight="1" thickBot="1" x14ac:dyDescent="0.3">
      <c r="B51" s="64" t="str">
        <f>"0x"&amp;BIN2HEX(B47,2)</f>
        <v>0x01</v>
      </c>
      <c r="C51" s="65" t="str">
        <f>"0x"&amp;BIN2HEX(C47,2)</f>
        <v>0xCB</v>
      </c>
      <c r="D51" s="65" t="str">
        <f ca="1">"0x"&amp;BIN2HEX(D47,2)</f>
        <v>0x10</v>
      </c>
      <c r="E51" s="65" t="str">
        <f ca="1">"0x"&amp;BIN2HEX(E47,2)</f>
        <v>0x00</v>
      </c>
      <c r="F51" s="65" t="str">
        <f ca="1">"0x"&amp;BIN2HEX(F47,2)</f>
        <v>0x02</v>
      </c>
      <c r="G51" s="81" t="str" cm="1">
        <f t="array" aca="1" ref="G51" ca="1">_xlfn.TEXTJOIN(", ",TRUE,IF(E60:E69&lt;&gt;"",G60:G69,""))</f>
        <v>0xFC 0xFC</v>
      </c>
      <c r="H51" s="65"/>
      <c r="I51" s="66"/>
      <c r="J51" s="67" t="s">
        <v>112</v>
      </c>
    </row>
    <row r="54" spans="2:10" x14ac:dyDescent="0.25">
      <c r="B54" s="88" t="s">
        <v>59</v>
      </c>
      <c r="C54" s="88"/>
      <c r="E54" s="89" t="s">
        <v>60</v>
      </c>
      <c r="F54" s="89"/>
    </row>
    <row r="55" spans="2:10" ht="15" customHeight="1" x14ac:dyDescent="0.25">
      <c r="B55" s="4" t="s">
        <v>53</v>
      </c>
      <c r="C55" s="8">
        <v>4</v>
      </c>
      <c r="E55" s="53" t="s">
        <v>64</v>
      </c>
      <c r="F55" s="52">
        <v>1</v>
      </c>
      <c r="G55" s="78"/>
    </row>
    <row r="56" spans="2:10" ht="15" customHeight="1" x14ac:dyDescent="0.25">
      <c r="B56" s="4" t="s">
        <v>54</v>
      </c>
      <c r="C56" s="8">
        <v>2</v>
      </c>
      <c r="E56" s="53" t="s">
        <v>65</v>
      </c>
      <c r="F56" s="52">
        <v>101</v>
      </c>
      <c r="G56" s="78"/>
    </row>
    <row r="57" spans="2:10" ht="15" customHeight="1" x14ac:dyDescent="0.25">
      <c r="B57" s="4" t="s">
        <v>55</v>
      </c>
      <c r="C57" s="8">
        <v>2</v>
      </c>
      <c r="E57" s="53" t="s">
        <v>31</v>
      </c>
      <c r="F57" s="52" t="s">
        <v>63</v>
      </c>
      <c r="G57" s="78"/>
    </row>
    <row r="58" spans="2:10" x14ac:dyDescent="0.25">
      <c r="B58" s="4" t="s">
        <v>56</v>
      </c>
      <c r="C58" s="8">
        <v>2</v>
      </c>
      <c r="E58" s="53" t="s">
        <v>34</v>
      </c>
      <c r="F58" s="52" t="s">
        <v>79</v>
      </c>
      <c r="G58" s="79"/>
    </row>
    <row r="59" spans="2:10" x14ac:dyDescent="0.25">
      <c r="B59" s="4" t="s">
        <v>57</v>
      </c>
      <c r="C59" s="8">
        <v>2</v>
      </c>
      <c r="E59" s="53" t="s">
        <v>36</v>
      </c>
      <c r="F59" s="52" t="s">
        <v>66</v>
      </c>
      <c r="G59" s="79"/>
    </row>
    <row r="60" spans="2:10" x14ac:dyDescent="0.25">
      <c r="B60" s="4" t="s">
        <v>77</v>
      </c>
      <c r="C60" s="8">
        <v>1</v>
      </c>
      <c r="E60" s="53" t="str" cm="1">
        <f t="array" aca="1" ref="E60" ca="1">IF(ROWS($E$60:E60)&lt;=INDIRECT("N_"&amp;F$58),F$58&amp;ROWS($E$60:E60),"")</f>
        <v>Tray1</v>
      </c>
      <c r="F60" s="128" t="s">
        <v>114</v>
      </c>
      <c r="G60" s="79" t="str" cm="1">
        <f t="array" ref="G60">IF(F60="","",IF(OR($F$59="On_Off",$F$59="Start",$F$59="Overlight_Detection"),"0x"&amp;DEC2HEX(F60,2),IF(ISNUMBER(F60),FloatToHexLE_0x(F60),DecimalDecimalTo2HexBytes((F60)))))</f>
        <v>0xFC 0xFC</v>
      </c>
    </row>
    <row r="61" spans="2:10" ht="15" customHeight="1" x14ac:dyDescent="0.25">
      <c r="B61" s="4" t="s">
        <v>58</v>
      </c>
      <c r="C61" s="8">
        <v>1</v>
      </c>
      <c r="E61" s="53" t="str" cm="1">
        <f t="array" aca="1" ref="E61" ca="1">IF(ROWS($E$60:E61)&lt;=INDIRECT("N_"&amp;F$58),F$58&amp;ROWS($E$60:E61),"")</f>
        <v/>
      </c>
      <c r="F61" s="52"/>
      <c r="G61" s="79" t="str" cm="1">
        <f t="array" ref="G61">IF(F61="","",IF(OR($F$59="On_Off",$F$59="Start",$F$59="Overlight_Detection"),"0x"&amp;DEC2HEX(F61,2),IF(ISNUMBER(F61),FloatToHexLE_0x(F61),DecimalDecimalTo2HexBytes((F61)))))</f>
        <v/>
      </c>
    </row>
    <row r="62" spans="2:10" ht="15" customHeight="1" x14ac:dyDescent="0.25">
      <c r="E62" s="53" t="str" cm="1">
        <f t="array" aca="1" ref="E62" ca="1">IF(ROWS($E$60:E62)&lt;=INDIRECT("N_"&amp;F$58),F$58&amp;ROWS($E$60:E62),"")</f>
        <v/>
      </c>
      <c r="F62" s="52"/>
      <c r="G62" s="79" t="str" cm="1">
        <f t="array" ref="G62">IF(F62="","",IF(OR($F$59="On_Off",$F$59="Start",$F$59="Overlight_Detection"),"0x"&amp;DEC2HEX(F62,2),IF(ISNUMBER(F62),FloatToHexLE_0x(F62),DecimalDecimalTo2HexBytes((F62)))))</f>
        <v/>
      </c>
    </row>
    <row r="63" spans="2:10" ht="15" customHeight="1" x14ac:dyDescent="0.25">
      <c r="E63" s="53" t="str" cm="1">
        <f t="array" aca="1" ref="E63" ca="1">IF(ROWS($E$60:E63)&lt;=INDIRECT("N_"&amp;F$58),F$58&amp;ROWS($E$60:E63),"")</f>
        <v/>
      </c>
      <c r="F63" s="52"/>
      <c r="G63" s="79" t="str" cm="1">
        <f t="array" ref="G63">IF(F63="","",IF(OR($F$59="On_Off",$F$59="Start",$F$59="Overlight_Detection"),"0x"&amp;DEC2HEX(F63,2),IF(ISNUMBER(F63),FloatToHexLE_0x(F63),DecimalDecimalTo2HexBytes((F63)))))</f>
        <v/>
      </c>
    </row>
    <row r="64" spans="2:10" x14ac:dyDescent="0.25">
      <c r="E64" s="53" t="str" cm="1">
        <f t="array" aca="1" ref="E64" ca="1">IF(ROWS($E$60:E64)&lt;=INDIRECT("N_"&amp;F$58),F$58&amp;ROWS($E$60:E64),"")</f>
        <v/>
      </c>
      <c r="F64" s="52"/>
      <c r="G64" s="79" t="str" cm="1">
        <f t="array" ref="G64">IF(F64="","",IF(OR($F$59="On_Off",$F$59="Start",$F$59="Overlight_Detection"),"0x"&amp;DEC2HEX(F64,2),IF(ISNUMBER(F64),FloatToHexLE_0x(F64),DecimalDecimalTo2HexBytes((F64)))))</f>
        <v/>
      </c>
    </row>
    <row r="65" spans="5:7" x14ac:dyDescent="0.25">
      <c r="E65" s="53" t="str" cm="1">
        <f t="array" aca="1" ref="E65" ca="1">IF(ROWS($E$60:E65)&lt;=INDIRECT("N_"&amp;F$58),F$58&amp;ROWS($E$60:E65),"")</f>
        <v/>
      </c>
      <c r="F65" s="52"/>
      <c r="G65" s="79" t="str" cm="1">
        <f t="array" ref="G65">IF(F65="","",IF(OR($F$59="On_Off",$F$59="Start",$F$59="Overlight_Detection"),"0x"&amp;DEC2HEX(F65,2),IF(ISNUMBER(F65),FloatToHexLE_0x(F65),DecimalDecimalTo2HexBytes((F65)))))</f>
        <v/>
      </c>
    </row>
    <row r="66" spans="5:7" x14ac:dyDescent="0.25">
      <c r="E66" s="53" t="str" cm="1">
        <f t="array" aca="1" ref="E66" ca="1">IF(ROWS($E$60:E66)&lt;=INDIRECT("N_"&amp;F$58),F$58&amp;ROWS($E$60:E66),"")</f>
        <v/>
      </c>
      <c r="F66" s="52"/>
      <c r="G66" s="79" t="str" cm="1">
        <f t="array" ref="G66">IF(F66="","",IF(OR($F$59="On_Off",$F$59="Start",$F$59="Overlight_Detection"),"0x"&amp;DEC2HEX(F66,2),IF(ISNUMBER(F66),FloatToHexLE_0x(F66),DecimalDecimalTo2HexBytes((F66)))))</f>
        <v/>
      </c>
    </row>
    <row r="67" spans="5:7" x14ac:dyDescent="0.25">
      <c r="E67" s="53" t="str" cm="1">
        <f t="array" aca="1" ref="E67" ca="1">IF(ROWS($E$60:E67)&lt;=INDIRECT("N_"&amp;F$58),F$58&amp;ROWS($E$60:E67),"")</f>
        <v/>
      </c>
      <c r="F67" s="52"/>
      <c r="G67" s="79" t="str" cm="1">
        <f t="array" ref="G67">IF(F67="","",IF(OR($F$59="On_Off",$F$59="Start",$F$59="Overlight_Detection"),"0x"&amp;DEC2HEX(F67,2),IF(ISNUMBER(F67),FloatToHexLE_0x(F67),DecimalDecimalTo2HexBytes((F67)))))</f>
        <v/>
      </c>
    </row>
    <row r="68" spans="5:7" x14ac:dyDescent="0.25">
      <c r="E68" s="53" t="str" cm="1">
        <f t="array" aca="1" ref="E68" ca="1">IF(ROWS($E$60:E68)&lt;=INDIRECT("N_"&amp;F$58),F$58&amp;ROWS($E$60:E68),"")</f>
        <v/>
      </c>
      <c r="F68" s="52"/>
      <c r="G68" s="79" t="str" cm="1">
        <f t="array" ref="G68">IF(F68="","",IF(OR($F$59="On_Off",$F$59="Start",$F$59="Overlight_Detection"),"0x"&amp;DEC2HEX(F68,2),IF(ISNUMBER(F68),FloatToHexLE_0x(F68),DecimalDecimalTo2HexBytes((F68)))))</f>
        <v/>
      </c>
    </row>
    <row r="69" spans="5:7" x14ac:dyDescent="0.25">
      <c r="E69" s="53" t="str" cm="1">
        <f t="array" aca="1" ref="E69" ca="1">IF(ROWS($E$60:E69)&lt;=INDIRECT("N_"&amp;F$58),F$58&amp;ROWS($E$60:E69),"")</f>
        <v/>
      </c>
      <c r="F69" s="52"/>
      <c r="G69" s="79" t="str" cm="1">
        <f t="array" ref="G69">IF(F69="","",IF(OR($F$59="On_Off",$F$59="Start",$F$59="Overlight_Detection"),"0x"&amp;DEC2HEX(F69,2),IF(ISNUMBER(F69),FloatToHexLE_0x(F69),DecimalDecimalTo2HexBytes((F69)))))</f>
        <v/>
      </c>
    </row>
    <row r="1048569" spans="10:10" x14ac:dyDescent="0.25">
      <c r="J1048569" s="9"/>
    </row>
  </sheetData>
  <mergeCells count="28">
    <mergeCell ref="B5:J5"/>
    <mergeCell ref="L5:P6"/>
    <mergeCell ref="B2:P3"/>
    <mergeCell ref="D8:J8"/>
    <mergeCell ref="B25:J25"/>
    <mergeCell ref="D9:D11"/>
    <mergeCell ref="D16:J16"/>
    <mergeCell ref="D17:D20"/>
    <mergeCell ref="D22:J22"/>
    <mergeCell ref="D13:J13"/>
    <mergeCell ref="B15:J15"/>
    <mergeCell ref="B21:J21"/>
    <mergeCell ref="B12:J12"/>
    <mergeCell ref="B31:J31"/>
    <mergeCell ref="B36:J36"/>
    <mergeCell ref="D23:D24"/>
    <mergeCell ref="D27:D30"/>
    <mergeCell ref="D26:J26"/>
    <mergeCell ref="B42:P43"/>
    <mergeCell ref="B54:C54"/>
    <mergeCell ref="E54:F54"/>
    <mergeCell ref="D33:D35"/>
    <mergeCell ref="D32:J32"/>
    <mergeCell ref="D38:D39"/>
    <mergeCell ref="D37:J37"/>
    <mergeCell ref="B45:J45"/>
    <mergeCell ref="B49:J49"/>
    <mergeCell ref="B40:J40"/>
  </mergeCells>
  <phoneticPr fontId="9" type="noConversion"/>
  <dataValidations count="2">
    <dataValidation type="list" allowBlank="1" showInputMessage="1" showErrorMessage="1" sqref="F57" xr:uid="{E0B5A096-32FD-488B-BCFB-3587B74A8B22}">
      <formula1>"Read,Write"</formula1>
    </dataValidation>
    <dataValidation type="list" allowBlank="1" showInputMessage="1" showErrorMessage="1" sqref="F59" xr:uid="{07FA7DF4-BB54-495C-90C3-1F1EE6605980}">
      <formula1>INDIRECT($F$57&amp;"_"&amp;$F$58)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6DE71D-DAB6-4BB2-992A-A91FA60DDA02}">
          <x14:formula1>
            <xm:f>Helper!$B$5:$B$11</xm:f>
          </x14:formula1>
          <xm:sqref>F58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E8D54E-5842-437E-9F3B-00BC5F02613F}">
  <sheetPr codeName="Sheet2"/>
  <dimension ref="B2:I35"/>
  <sheetViews>
    <sheetView workbookViewId="0">
      <selection activeCell="I4" sqref="I4"/>
    </sheetView>
  </sheetViews>
  <sheetFormatPr defaultRowHeight="15" x14ac:dyDescent="0.25"/>
  <cols>
    <col min="2" max="2" width="20.28515625" bestFit="1" customWidth="1"/>
    <col min="4" max="4" width="26.140625" customWidth="1"/>
    <col min="5" max="5" width="13.140625" customWidth="1"/>
    <col min="6" max="6" width="26.140625" customWidth="1"/>
    <col min="7" max="7" width="13.140625" customWidth="1"/>
    <col min="8" max="8" width="45.7109375" customWidth="1"/>
    <col min="9" max="9" width="9.140625" style="49"/>
  </cols>
  <sheetData>
    <row r="2" spans="2:9" x14ac:dyDescent="0.25">
      <c r="D2" s="49" t="s">
        <v>32</v>
      </c>
      <c r="E2" s="49"/>
      <c r="F2" s="49" t="s">
        <v>63</v>
      </c>
      <c r="H2" s="49" t="s">
        <v>90</v>
      </c>
    </row>
    <row r="3" spans="2:9" ht="15.75" thickBot="1" x14ac:dyDescent="0.3"/>
    <row r="4" spans="2:9" x14ac:dyDescent="0.25">
      <c r="B4" s="35" t="s">
        <v>61</v>
      </c>
      <c r="D4" s="36" t="s">
        <v>70</v>
      </c>
      <c r="F4" s="36" t="s">
        <v>70</v>
      </c>
      <c r="H4" s="36" t="s">
        <v>91</v>
      </c>
      <c r="I4" s="71">
        <f>N_Pump*1</f>
        <v>4</v>
      </c>
    </row>
    <row r="5" spans="2:9" x14ac:dyDescent="0.25">
      <c r="B5" s="34" t="s">
        <v>70</v>
      </c>
      <c r="C5" s="32"/>
      <c r="D5" s="33" t="s">
        <v>83</v>
      </c>
      <c r="E5" s="32"/>
      <c r="F5" s="33" t="s">
        <v>83</v>
      </c>
      <c r="G5" s="32"/>
      <c r="H5" s="36" t="s">
        <v>92</v>
      </c>
      <c r="I5" s="71">
        <f>N_Pump*4</f>
        <v>16</v>
      </c>
    </row>
    <row r="6" spans="2:9" x14ac:dyDescent="0.25">
      <c r="B6" s="37" t="s">
        <v>71</v>
      </c>
      <c r="C6" s="32"/>
      <c r="D6" s="33" t="s">
        <v>38</v>
      </c>
      <c r="E6" s="32"/>
      <c r="F6" s="33" t="s">
        <v>38</v>
      </c>
      <c r="G6" s="32"/>
      <c r="H6" s="36" t="s">
        <v>93</v>
      </c>
      <c r="I6" s="71">
        <f>N_Pump*4</f>
        <v>16</v>
      </c>
    </row>
    <row r="7" spans="2:9" x14ac:dyDescent="0.25">
      <c r="B7" s="39" t="s">
        <v>72</v>
      </c>
      <c r="C7" s="32"/>
      <c r="D7" s="33" t="s">
        <v>11</v>
      </c>
      <c r="E7" s="32"/>
      <c r="F7" s="32"/>
      <c r="G7" s="32"/>
      <c r="H7" s="68"/>
      <c r="I7" s="8"/>
    </row>
    <row r="8" spans="2:9" x14ac:dyDescent="0.25">
      <c r="B8" s="41" t="s">
        <v>73</v>
      </c>
      <c r="C8" s="32"/>
      <c r="D8" s="32"/>
      <c r="E8" s="32"/>
      <c r="F8" s="32"/>
      <c r="G8" s="32"/>
      <c r="H8" s="69" t="s">
        <v>94</v>
      </c>
      <c r="I8" s="72">
        <f>N_Valve*1</f>
        <v>2</v>
      </c>
    </row>
    <row r="9" spans="2:9" x14ac:dyDescent="0.25">
      <c r="B9" s="43" t="s">
        <v>74</v>
      </c>
      <c r="C9" s="32"/>
      <c r="D9" s="38" t="s">
        <v>71</v>
      </c>
      <c r="E9" s="32"/>
      <c r="F9" s="38" t="s">
        <v>71</v>
      </c>
      <c r="G9" s="32"/>
      <c r="H9" s="33"/>
      <c r="I9" s="8"/>
    </row>
    <row r="10" spans="2:9" x14ac:dyDescent="0.25">
      <c r="B10" s="45" t="s">
        <v>78</v>
      </c>
      <c r="C10" s="32"/>
      <c r="D10" s="33" t="s">
        <v>83</v>
      </c>
      <c r="E10" s="32"/>
      <c r="F10" s="33" t="s">
        <v>83</v>
      </c>
      <c r="G10" s="32"/>
      <c r="H10" s="70" t="s">
        <v>95</v>
      </c>
      <c r="I10" s="73">
        <f>N_TempModule*1</f>
        <v>2</v>
      </c>
    </row>
    <row r="11" spans="2:9" ht="15.75" thickBot="1" x14ac:dyDescent="0.3">
      <c r="B11" s="47" t="s">
        <v>79</v>
      </c>
      <c r="C11" s="32"/>
      <c r="D11" s="32"/>
      <c r="E11" s="32"/>
      <c r="F11" s="32"/>
      <c r="G11" s="32"/>
      <c r="H11" s="70" t="s">
        <v>96</v>
      </c>
      <c r="I11" s="73">
        <f>N_TempModule*4</f>
        <v>8</v>
      </c>
    </row>
    <row r="12" spans="2:9" x14ac:dyDescent="0.25">
      <c r="D12" s="40" t="s">
        <v>72</v>
      </c>
      <c r="F12" s="40" t="s">
        <v>72</v>
      </c>
      <c r="H12" s="70" t="s">
        <v>97</v>
      </c>
      <c r="I12" s="73">
        <f>N_TempModule*4</f>
        <v>8</v>
      </c>
    </row>
    <row r="13" spans="2:9" x14ac:dyDescent="0.25">
      <c r="D13" s="33" t="s">
        <v>83</v>
      </c>
      <c r="F13" s="33" t="s">
        <v>83</v>
      </c>
      <c r="H13" s="70" t="s">
        <v>98</v>
      </c>
      <c r="I13" s="73">
        <f>N_TempModule*4</f>
        <v>8</v>
      </c>
    </row>
    <row r="14" spans="2:9" x14ac:dyDescent="0.25">
      <c r="D14" s="33" t="s">
        <v>38</v>
      </c>
      <c r="F14" s="33" t="s">
        <v>38</v>
      </c>
      <c r="H14" s="33"/>
      <c r="I14" s="8"/>
    </row>
    <row r="15" spans="2:9" x14ac:dyDescent="0.25">
      <c r="D15" s="33" t="s">
        <v>13</v>
      </c>
      <c r="F15" s="32"/>
      <c r="H15" s="42" t="s">
        <v>99</v>
      </c>
      <c r="I15" s="74">
        <f>N_ODModule*1</f>
        <v>2</v>
      </c>
    </row>
    <row r="16" spans="2:9" x14ac:dyDescent="0.25">
      <c r="D16" s="33" t="s">
        <v>37</v>
      </c>
      <c r="F16" s="32"/>
      <c r="H16" s="42" t="s">
        <v>109</v>
      </c>
      <c r="I16" s="74">
        <f>N_ODModule*4</f>
        <v>8</v>
      </c>
    </row>
    <row r="17" spans="4:9" x14ac:dyDescent="0.25">
      <c r="H17" s="68"/>
      <c r="I17" s="8"/>
    </row>
    <row r="18" spans="4:9" x14ac:dyDescent="0.25">
      <c r="D18" s="42" t="s">
        <v>73</v>
      </c>
      <c r="F18" s="42" t="s">
        <v>73</v>
      </c>
      <c r="H18" s="44" t="s">
        <v>100</v>
      </c>
      <c r="I18" s="75">
        <f>N_MagModule*1</f>
        <v>2</v>
      </c>
    </row>
    <row r="19" spans="4:9" x14ac:dyDescent="0.25">
      <c r="D19" s="33" t="s">
        <v>83</v>
      </c>
      <c r="F19" s="33" t="s">
        <v>83</v>
      </c>
      <c r="H19" s="44" t="s">
        <v>101</v>
      </c>
      <c r="I19" s="75">
        <f>N_MagModule*4</f>
        <v>8</v>
      </c>
    </row>
    <row r="20" spans="4:9" x14ac:dyDescent="0.25">
      <c r="D20" s="33" t="s">
        <v>39</v>
      </c>
      <c r="F20" s="32"/>
      <c r="H20" s="44" t="s">
        <v>102</v>
      </c>
      <c r="I20" s="75">
        <f>N_MagModule*4</f>
        <v>8</v>
      </c>
    </row>
    <row r="21" spans="4:9" x14ac:dyDescent="0.25">
      <c r="H21" s="44" t="s">
        <v>103</v>
      </c>
      <c r="I21" s="75">
        <f>N_MagModule*4</f>
        <v>8</v>
      </c>
    </row>
    <row r="22" spans="4:9" x14ac:dyDescent="0.25">
      <c r="D22" s="44" t="s">
        <v>74</v>
      </c>
      <c r="F22" s="44" t="s">
        <v>74</v>
      </c>
      <c r="H22" s="68"/>
      <c r="I22" s="8"/>
    </row>
    <row r="23" spans="4:9" x14ac:dyDescent="0.25">
      <c r="D23" s="33" t="s">
        <v>83</v>
      </c>
      <c r="F23" s="33" t="s">
        <v>83</v>
      </c>
      <c r="H23" s="46" t="s">
        <v>104</v>
      </c>
      <c r="I23" s="76">
        <f>N_PhotonCounter*1</f>
        <v>1</v>
      </c>
    </row>
    <row r="24" spans="4:9" x14ac:dyDescent="0.25">
      <c r="D24" s="33" t="s">
        <v>38</v>
      </c>
      <c r="F24" s="33" t="s">
        <v>38</v>
      </c>
      <c r="H24" s="46" t="s">
        <v>105</v>
      </c>
      <c r="I24" s="76">
        <f>N_PhotonCounter*4</f>
        <v>4</v>
      </c>
    </row>
    <row r="25" spans="4:9" x14ac:dyDescent="0.25">
      <c r="D25" s="33" t="s">
        <v>11</v>
      </c>
      <c r="F25" s="32"/>
      <c r="H25" s="46" t="s">
        <v>106</v>
      </c>
      <c r="I25" s="76">
        <f>N_PhotonCounter*1</f>
        <v>1</v>
      </c>
    </row>
    <row r="26" spans="4:9" x14ac:dyDescent="0.25">
      <c r="D26" s="33" t="s">
        <v>40</v>
      </c>
      <c r="F26" s="32"/>
      <c r="H26" s="33"/>
      <c r="I26" s="8"/>
    </row>
    <row r="27" spans="4:9" x14ac:dyDescent="0.25">
      <c r="H27" s="48" t="s">
        <v>107</v>
      </c>
      <c r="I27" s="77">
        <f>N_Tray*2</f>
        <v>2</v>
      </c>
    </row>
    <row r="28" spans="4:9" x14ac:dyDescent="0.25">
      <c r="D28" s="46" t="s">
        <v>78</v>
      </c>
      <c r="F28" s="46" t="s">
        <v>78</v>
      </c>
      <c r="H28" s="48" t="s">
        <v>108</v>
      </c>
      <c r="I28" s="77">
        <f>N_Tray*1</f>
        <v>1</v>
      </c>
    </row>
    <row r="29" spans="4:9" x14ac:dyDescent="0.25">
      <c r="D29" s="33" t="s">
        <v>83</v>
      </c>
      <c r="F29" s="33" t="s">
        <v>83</v>
      </c>
      <c r="H29" s="32"/>
    </row>
    <row r="30" spans="4:9" x14ac:dyDescent="0.25">
      <c r="D30" s="33" t="s">
        <v>41</v>
      </c>
      <c r="F30" s="32"/>
      <c r="H30" s="32"/>
    </row>
    <row r="31" spans="4:9" x14ac:dyDescent="0.25">
      <c r="D31" s="33" t="s">
        <v>42</v>
      </c>
      <c r="F31" s="32"/>
      <c r="H31" s="32"/>
    </row>
    <row r="33" spans="4:8" x14ac:dyDescent="0.25">
      <c r="D33" s="48" t="s">
        <v>79</v>
      </c>
      <c r="F33" s="48" t="s">
        <v>79</v>
      </c>
    </row>
    <row r="34" spans="4:8" x14ac:dyDescent="0.25">
      <c r="D34" s="33" t="s">
        <v>66</v>
      </c>
      <c r="F34" s="33" t="s">
        <v>66</v>
      </c>
      <c r="H34" s="32"/>
    </row>
    <row r="35" spans="4:8" x14ac:dyDescent="0.25">
      <c r="D35" s="32"/>
      <c r="F35" s="33" t="s">
        <v>19</v>
      </c>
      <c r="H35" s="3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92b6af-e0ee-4c30-94a0-1b2186809db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CE40BF617F67847824D7B6B680966D4" ma:contentTypeVersion="18" ma:contentTypeDescription="Ein neues Dokument erstellen." ma:contentTypeScope="" ma:versionID="73201ddf3f1811f1d09b89915cb5ad7a">
  <xsd:schema xmlns:xsd="http://www.w3.org/2001/XMLSchema" xmlns:xs="http://www.w3.org/2001/XMLSchema" xmlns:p="http://schemas.microsoft.com/office/2006/metadata/properties" xmlns:ns3="f4385020-e921-42c8-9ee4-d3d95f53260d" xmlns:ns4="6e92b6af-e0ee-4c30-94a0-1b2186809db8" targetNamespace="http://schemas.microsoft.com/office/2006/metadata/properties" ma:root="true" ma:fieldsID="9872c3caeeea9d3be7f5e09982ec0881" ns3:_="" ns4:_="">
    <xsd:import namespace="f4385020-e921-42c8-9ee4-d3d95f53260d"/>
    <xsd:import namespace="6e92b6af-e0ee-4c30-94a0-1b2186809db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  <xsd:element ref="ns4:MediaLengthInSeconds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4385020-e921-42c8-9ee4-d3d95f53260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Freigabehinweis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92b6af-e0ee-4c30-94a0-1b2186809db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AEC3685-AFCC-4552-A1C4-78C2FB720149}">
  <ds:schemaRefs>
    <ds:schemaRef ds:uri="http://schemas.microsoft.com/office/2006/documentManagement/types"/>
    <ds:schemaRef ds:uri="http://purl.org/dc/terms/"/>
    <ds:schemaRef ds:uri="6e92b6af-e0ee-4c30-94a0-1b2186809db8"/>
    <ds:schemaRef ds:uri="http://purl.org/dc/elements/1.1/"/>
    <ds:schemaRef ds:uri="f4385020-e921-42c8-9ee4-d3d95f53260d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E0CB3A8-C470-4C9E-9903-63DE1EEFA0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43C1DEE-CFCF-4535-8BB4-07F90BABBC5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4385020-e921-42c8-9ee4-d3d95f53260d"/>
    <ds:schemaRef ds:uri="6e92b6af-e0ee-4c30-94a0-1b2186809d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66</vt:i4>
      </vt:variant>
    </vt:vector>
  </HeadingPairs>
  <TitlesOfParts>
    <vt:vector size="68" baseType="lpstr">
      <vt:lpstr>Protocol</vt:lpstr>
      <vt:lpstr>Helper</vt:lpstr>
      <vt:lpstr>id1_MagModule</vt:lpstr>
      <vt:lpstr>id1_ODModule</vt:lpstr>
      <vt:lpstr>id1_PhotonCounter</vt:lpstr>
      <vt:lpstr>id1_Pump</vt:lpstr>
      <vt:lpstr>id1_TempModule</vt:lpstr>
      <vt:lpstr>id1_Tray</vt:lpstr>
      <vt:lpstr>id1_Valve</vt:lpstr>
      <vt:lpstr>id2_MagModule_Fan_Duty_Cycle</vt:lpstr>
      <vt:lpstr>id2_MagModule_On_Off</vt:lpstr>
      <vt:lpstr>id2_MagModule_Set_Point</vt:lpstr>
      <vt:lpstr>id2_MagModule_Speed</vt:lpstr>
      <vt:lpstr>id2_ODModule_OD_Value</vt:lpstr>
      <vt:lpstr>id2_ODModule_On_Off</vt:lpstr>
      <vt:lpstr>id2_PhotonCounter_On_Off</vt:lpstr>
      <vt:lpstr>id2_PhotonCounter_Overlight_Detection</vt:lpstr>
      <vt:lpstr>id2_PhotonCounter_Photon_Counts</vt:lpstr>
      <vt:lpstr>id2_Pump_On_Off</vt:lpstr>
      <vt:lpstr>id2_Pump_Set_Point</vt:lpstr>
      <vt:lpstr>id2_Pump_Speed</vt:lpstr>
      <vt:lpstr>id2_TempModule_Heater_Duty_Cycle</vt:lpstr>
      <vt:lpstr>id2_TempModule_On_Off</vt:lpstr>
      <vt:lpstr>id2_TempModule_Set_Point</vt:lpstr>
      <vt:lpstr>id2_TempModule_Temperature</vt:lpstr>
      <vt:lpstr>id2_Tray_Position</vt:lpstr>
      <vt:lpstr>id2_Tray_Start</vt:lpstr>
      <vt:lpstr>id2_Valve_On_Off</vt:lpstr>
      <vt:lpstr>N_MagModule</vt:lpstr>
      <vt:lpstr>N_ODModule</vt:lpstr>
      <vt:lpstr>N_PhotonCounter</vt:lpstr>
      <vt:lpstr>N_Pump</vt:lpstr>
      <vt:lpstr>N_TempModule</vt:lpstr>
      <vt:lpstr>N_Tray</vt:lpstr>
      <vt:lpstr>N_Valve</vt:lpstr>
      <vt:lpstr>NPayload_MagModule_Fan_Duty_Cycle</vt:lpstr>
      <vt:lpstr>NPayload_MagModule_On_Off</vt:lpstr>
      <vt:lpstr>NPayload_MagModule_Set_Point</vt:lpstr>
      <vt:lpstr>NPayload_MagModule_Speed</vt:lpstr>
      <vt:lpstr>NPayload_ODModule_OD_Value</vt:lpstr>
      <vt:lpstr>NPayload_ODModule_On_Off</vt:lpstr>
      <vt:lpstr>NPayload_PhotonCounter_On_Off</vt:lpstr>
      <vt:lpstr>NPayload_PhotonCounter_Overlight_Detection</vt:lpstr>
      <vt:lpstr>NPayload_PhotonCounter_Photon_Counts</vt:lpstr>
      <vt:lpstr>NPayload_Pump_On_Off</vt:lpstr>
      <vt:lpstr>NPayload_Pump_Set_Point</vt:lpstr>
      <vt:lpstr>NPayload_Pump_Speed</vt:lpstr>
      <vt:lpstr>NPayload_TempModule_Heater_Duty_Cycle</vt:lpstr>
      <vt:lpstr>NPayload_TempModule_On_Off</vt:lpstr>
      <vt:lpstr>NPayload_TempModule_Set_Point</vt:lpstr>
      <vt:lpstr>NPayload_TempModule_Temperature</vt:lpstr>
      <vt:lpstr>NPayload_Tray_Position</vt:lpstr>
      <vt:lpstr>NPayload_Tray_Start</vt:lpstr>
      <vt:lpstr>NPayload_Valve_On_Off</vt:lpstr>
      <vt:lpstr>Read_MagModule</vt:lpstr>
      <vt:lpstr>Read_ODModule</vt:lpstr>
      <vt:lpstr>Read_PhotonCounter</vt:lpstr>
      <vt:lpstr>Read_Pump</vt:lpstr>
      <vt:lpstr>Read_TempModule</vt:lpstr>
      <vt:lpstr>Read_Tray</vt:lpstr>
      <vt:lpstr>Read_Valve</vt:lpstr>
      <vt:lpstr>Write_MagModule</vt:lpstr>
      <vt:lpstr>Write_ODModule</vt:lpstr>
      <vt:lpstr>Write_PhotonCounter</vt:lpstr>
      <vt:lpstr>Write_Pump</vt:lpstr>
      <vt:lpstr>Write_TempModule</vt:lpstr>
      <vt:lpstr>Write_Tray</vt:lpstr>
      <vt:lpstr>Write_Valve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Thanuphol Patipol (thau)</dc:creator>
  <cp:lastModifiedBy>Thanuphol Patipol (thau)</cp:lastModifiedBy>
  <dcterms:created xsi:type="dcterms:W3CDTF">2026-04-16T07:52:08Z</dcterms:created>
  <dcterms:modified xsi:type="dcterms:W3CDTF">2026-04-29T07:10:52Z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0d9bad3-6dac-4e9a-89a3-89f3b8d247b2_Enabled">
    <vt:lpwstr>true</vt:lpwstr>
  </property>
  <property fmtid="{D5CDD505-2E9C-101B-9397-08002B2CF9AE}" pid="3" name="MSIP_Label_10d9bad3-6dac-4e9a-89a3-89f3b8d247b2_SetDate">
    <vt:lpwstr>2026-04-16T13:42:19Z</vt:lpwstr>
  </property>
  <property fmtid="{D5CDD505-2E9C-101B-9397-08002B2CF9AE}" pid="4" name="MSIP_Label_10d9bad3-6dac-4e9a-89a3-89f3b8d247b2_Method">
    <vt:lpwstr>Standard</vt:lpwstr>
  </property>
  <property fmtid="{D5CDD505-2E9C-101B-9397-08002B2CF9AE}" pid="5" name="MSIP_Label_10d9bad3-6dac-4e9a-89a3-89f3b8d247b2_Name">
    <vt:lpwstr>10d9bad3-6dac-4e9a-89a3-89f3b8d247b2</vt:lpwstr>
  </property>
  <property fmtid="{D5CDD505-2E9C-101B-9397-08002B2CF9AE}" pid="6" name="MSIP_Label_10d9bad3-6dac-4e9a-89a3-89f3b8d247b2_SiteId">
    <vt:lpwstr>5d1a9f9d-201f-4a10-b983-451cf65cbc1e</vt:lpwstr>
  </property>
  <property fmtid="{D5CDD505-2E9C-101B-9397-08002B2CF9AE}" pid="7" name="MSIP_Label_10d9bad3-6dac-4e9a-89a3-89f3b8d247b2_ActionId">
    <vt:lpwstr>b3232139-c93b-4b65-b7d2-a3442b3782e5</vt:lpwstr>
  </property>
  <property fmtid="{D5CDD505-2E9C-101B-9397-08002B2CF9AE}" pid="8" name="MSIP_Label_10d9bad3-6dac-4e9a-89a3-89f3b8d247b2_ContentBits">
    <vt:lpwstr>0</vt:lpwstr>
  </property>
  <property fmtid="{D5CDD505-2E9C-101B-9397-08002B2CF9AE}" pid="9" name="MSIP_Label_10d9bad3-6dac-4e9a-89a3-89f3b8d247b2_Tag">
    <vt:lpwstr>10, 3, 0, 1</vt:lpwstr>
  </property>
  <property fmtid="{D5CDD505-2E9C-101B-9397-08002B2CF9AE}" pid="10" name="ContentTypeId">
    <vt:lpwstr>0x0101003CE40BF617F67847824D7B6B680966D4</vt:lpwstr>
  </property>
</Properties>
</file>